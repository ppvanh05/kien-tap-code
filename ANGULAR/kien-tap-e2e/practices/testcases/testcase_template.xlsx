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nhduong/Public/"/>
    </mc:Choice>
  </mc:AlternateContent>
  <xr:revisionPtr revIDLastSave="0" documentId="13_ncr:1_{D0B41CB5-C336-D749-8375-DE428471F0E6}" xr6:coauthVersionLast="47" xr6:coauthVersionMax="47" xr10:uidLastSave="{00000000-0000-0000-0000-000000000000}"/>
  <bookViews>
    <workbookView xWindow="33600" yWindow="500" windowWidth="38400" windowHeight="21100" xr2:uid="{BE47D0BB-0AF8-244A-9BCA-E65F10DFBD43}"/>
  </bookViews>
  <sheets>
    <sheet name="Overall" sheetId="2" r:id="rId1"/>
    <sheet name="login_feature" sheetId="1" r:id="rId2"/>
    <sheet name="search_featur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2" l="1"/>
  <c r="D31" i="2"/>
  <c r="C31" i="2"/>
  <c r="E30" i="2"/>
  <c r="D30" i="2"/>
  <c r="D32" i="2" s="1"/>
  <c r="C30" i="2"/>
  <c r="C32" i="2" s="1"/>
  <c r="C38" i="2"/>
  <c r="C37" i="2"/>
  <c r="C36" i="2"/>
  <c r="B37" i="2"/>
  <c r="B38" i="2"/>
  <c r="B36" i="2"/>
  <c r="E32" i="2" l="1"/>
  <c r="B31" i="2"/>
  <c r="B30" i="2"/>
  <c r="B32" i="2" l="1"/>
</calcChain>
</file>

<file path=xl/sharedStrings.xml><?xml version="1.0" encoding="utf-8"?>
<sst xmlns="http://schemas.openxmlformats.org/spreadsheetml/2006/main" count="473" uniqueCount="139">
  <si>
    <t>ID</t>
  </si>
  <si>
    <t>NAME</t>
  </si>
  <si>
    <t>PRECONDITION</t>
  </si>
  <si>
    <t>TEST_DATA</t>
  </si>
  <si>
    <t>POST_CONDITION</t>
  </si>
  <si>
    <t>TEST_STEP</t>
  </si>
  <si>
    <t>EXPECTED_RESULT</t>
  </si>
  <si>
    <t>ACTUAL_RESULT</t>
  </si>
  <si>
    <t>PRIORITY</t>
  </si>
  <si>
    <t>DESIGN_BY</t>
  </si>
  <si>
    <t>STATUS</t>
  </si>
  <si>
    <t>DESIGN_DATE</t>
  </si>
  <si>
    <t>EXECUTE_BY</t>
  </si>
  <si>
    <t>EXECUTE_DATE</t>
  </si>
  <si>
    <t>Verify user login successful with correct username and password</t>
  </si>
  <si>
    <t>Account existed in the system</t>
  </si>
  <si>
    <t>1 - Go to url abc.com.vn
2 - Input username
3 - Input password
4 - Click on button Login</t>
  </si>
  <si>
    <t>LG-01</t>
  </si>
  <si>
    <t>user_123/6813djhsaid3</t>
  </si>
  <si>
    <t>Login successful</t>
  </si>
  <si>
    <t>User on the Home page</t>
  </si>
  <si>
    <t>Project Name</t>
  </si>
  <si>
    <t>LEGEND</t>
  </si>
  <si>
    <t>CRITICAL</t>
  </si>
  <si>
    <t>HIGH</t>
  </si>
  <si>
    <t>NORMAL</t>
  </si>
  <si>
    <t>LOW</t>
  </si>
  <si>
    <t>PASSED</t>
  </si>
  <si>
    <t>FAILED</t>
  </si>
  <si>
    <t>UNEXECUTED</t>
  </si>
  <si>
    <t>LG-02</t>
  </si>
  <si>
    <t>LG-03</t>
  </si>
  <si>
    <t>LG-04</t>
  </si>
  <si>
    <t>LG-05</t>
  </si>
  <si>
    <t>LG-06</t>
  </si>
  <si>
    <t>LG-07</t>
  </si>
  <si>
    <t>LG-08</t>
  </si>
  <si>
    <t>LG-09</t>
  </si>
  <si>
    <t>LG-10</t>
  </si>
  <si>
    <t>LG-11</t>
  </si>
  <si>
    <t>LG-12</t>
  </si>
  <si>
    <t>LG-13</t>
  </si>
  <si>
    <t>LG-14</t>
  </si>
  <si>
    <t>LG-15</t>
  </si>
  <si>
    <t>LG-16</t>
  </si>
  <si>
    <t>LG-17</t>
  </si>
  <si>
    <t>LG-18</t>
  </si>
  <si>
    <t>LG-19</t>
  </si>
  <si>
    <t>LG-20</t>
  </si>
  <si>
    <t>Test case 2</t>
  </si>
  <si>
    <t>Test case 3</t>
  </si>
  <si>
    <t>Test case 4</t>
  </si>
  <si>
    <t>Test case 5</t>
  </si>
  <si>
    <t>Test case 6</t>
  </si>
  <si>
    <t>Test case 7</t>
  </si>
  <si>
    <t>Test case 8</t>
  </si>
  <si>
    <t>Test case 9</t>
  </si>
  <si>
    <t>Test case 10</t>
  </si>
  <si>
    <t>Test case 11</t>
  </si>
  <si>
    <t>Test case 12</t>
  </si>
  <si>
    <t>Test case 13</t>
  </si>
  <si>
    <t>Test case 14</t>
  </si>
  <si>
    <t>Test case 15</t>
  </si>
  <si>
    <t>Test case 16</t>
  </si>
  <si>
    <t>Test case 17</t>
  </si>
  <si>
    <t>Test case 18</t>
  </si>
  <si>
    <t>Test case 19</t>
  </si>
  <si>
    <t>Test case 20</t>
  </si>
  <si>
    <t>Something</t>
  </si>
  <si>
    <t>1 - Step name
2- Step name
3 - Step name</t>
  </si>
  <si>
    <t>Some Data</t>
  </si>
  <si>
    <t>Expected result</t>
  </si>
  <si>
    <t>Actual result</t>
  </si>
  <si>
    <t>Start Date</t>
  </si>
  <si>
    <t>META DATA</t>
  </si>
  <si>
    <t>Supper e-commerce</t>
  </si>
  <si>
    <t>End Date</t>
  </si>
  <si>
    <t>Product Owner</t>
  </si>
  <si>
    <t>Mr. PO</t>
  </si>
  <si>
    <t>Project Manager</t>
  </si>
  <si>
    <t>Mr. PM</t>
  </si>
  <si>
    <t>Mr. EM</t>
  </si>
  <si>
    <t>Quality Manager</t>
  </si>
  <si>
    <t>Mr. QM</t>
  </si>
  <si>
    <t>Engineering Manager</t>
  </si>
  <si>
    <t>Dev Lead</t>
  </si>
  <si>
    <t>Mr. DL</t>
  </si>
  <si>
    <t>Test Lead</t>
  </si>
  <si>
    <t>Mr. TL</t>
  </si>
  <si>
    <t>Person in charge (POC)</t>
  </si>
  <si>
    <t>Name</t>
  </si>
  <si>
    <t>Email</t>
  </si>
  <si>
    <t>Phone</t>
  </si>
  <si>
    <t>abc@xyz.com</t>
  </si>
  <si>
    <t>+84123456789</t>
  </si>
  <si>
    <t>No.</t>
  </si>
  <si>
    <t>Tester 1</t>
  </si>
  <si>
    <t>tester1@abcmail.com</t>
  </si>
  <si>
    <t>Tester 2</t>
  </si>
  <si>
    <t>Tester 3</t>
  </si>
  <si>
    <t>RESOURCES</t>
  </si>
  <si>
    <t>TIMELINE</t>
  </si>
  <si>
    <t>Release</t>
  </si>
  <si>
    <t>R1</t>
  </si>
  <si>
    <t>R2</t>
  </si>
  <si>
    <t>R3</t>
  </si>
  <si>
    <t>R4</t>
  </si>
  <si>
    <t>R5</t>
  </si>
  <si>
    <t>Date</t>
  </si>
  <si>
    <t>Weight</t>
  </si>
  <si>
    <t>Test case 1</t>
  </si>
  <si>
    <t>SR-01</t>
  </si>
  <si>
    <t>SR-02</t>
  </si>
  <si>
    <t>SR-03</t>
  </si>
  <si>
    <t>SR-04</t>
  </si>
  <si>
    <t>SR-05</t>
  </si>
  <si>
    <t>SR-06</t>
  </si>
  <si>
    <t>SR-07</t>
  </si>
  <si>
    <t>SR-08</t>
  </si>
  <si>
    <t>SR-09</t>
  </si>
  <si>
    <t>SR-10</t>
  </si>
  <si>
    <t>SR-11</t>
  </si>
  <si>
    <t>SR-12</t>
  </si>
  <si>
    <t>SR-13</t>
  </si>
  <si>
    <t>SR-14</t>
  </si>
  <si>
    <t>SR-15</t>
  </si>
  <si>
    <t>Feature</t>
  </si>
  <si>
    <t>Number of TCs</t>
  </si>
  <si>
    <t>Login</t>
  </si>
  <si>
    <t>Search</t>
  </si>
  <si>
    <t>Passed</t>
  </si>
  <si>
    <t>Failed</t>
  </si>
  <si>
    <t>Unexecuted</t>
  </si>
  <si>
    <t>TEST OVERALL STATUS</t>
  </si>
  <si>
    <t>Total</t>
  </si>
  <si>
    <t>POC</t>
  </si>
  <si>
    <t>Design</t>
  </si>
  <si>
    <t>Execution</t>
  </si>
  <si>
    <t>TEST CONTRIBUTION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</si>
</sst>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B0F0"/>
      <name val="Calibri"/>
      <family val="2"/>
      <scheme val="minor"/>
    </font>
    <font>
      <sz val="8"/>
      <name val="Calibri"/>
      <family val="2"/>
      <scheme val="minor"/>
    </font>
    <font>
      <sz val="14"/>
      <color rgb="FFC0000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i/>
      <sz val="14"/>
      <color rgb="FFC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rgb="FF0070C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rgb="FF00B0F0"/>
      <name val="Calibri (Body)"/>
    </font>
    <font>
      <sz val="14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theme="5"/>
      </right>
      <top style="thin">
        <color theme="5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quotePrefix="1" applyFont="1" applyAlignment="1">
      <alignment horizontal="left" vertical="top" wrapText="1"/>
    </xf>
    <xf numFmtId="0" fontId="2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5" fontId="6" fillId="0" borderId="0" xfId="0" applyNumberFormat="1" applyFont="1"/>
    <xf numFmtId="0" fontId="7" fillId="0" borderId="0" xfId="1"/>
    <xf numFmtId="0" fontId="1" fillId="0" borderId="0" xfId="0" quotePrefix="1" applyFont="1"/>
    <xf numFmtId="0" fontId="1" fillId="0" borderId="1" xfId="0" quotePrefix="1" applyFont="1" applyBorder="1"/>
    <xf numFmtId="0" fontId="8" fillId="0" borderId="0" xfId="1" applyFont="1"/>
    <xf numFmtId="15" fontId="1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center"/>
    </xf>
    <xf numFmtId="15" fontId="9" fillId="0" borderId="0" xfId="0" applyNumberFormat="1" applyFont="1"/>
    <xf numFmtId="15" fontId="10" fillId="0" borderId="0" xfId="0" applyNumberFormat="1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" fillId="0" borderId="0" xfId="0" applyFont="1" applyBorder="1"/>
  </cellXfs>
  <cellStyles count="2">
    <cellStyle name="Hyperlink" xfId="1" builtinId="8"/>
    <cellStyle name="Normal" xfId="0" builtinId="0"/>
  </cellStyles>
  <dxfs count="8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20" formatCode="dd\-mmm\-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rgb="FF0070C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20" formatCode="dd\-mmm\-yy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20" formatCode="dd\-mmm\-yy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 outline="0">
        <left/>
        <right style="thin">
          <color theme="5"/>
        </right>
        <top style="thin">
          <color theme="5"/>
        </top>
        <bottom/>
      </border>
    </dxf>
    <dxf>
      <font>
        <strike val="0"/>
        <outline val="0"/>
        <shadow val="0"/>
        <vertAlign val="baseline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4"/>
        <color rgb="FFC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4"/>
        <color rgb="FF0070C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sng" strike="noStrike" kern="1200" spc="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r>
              <a:rPr lang="en-US" sz="1800" b="1" u="sng">
                <a:solidFill>
                  <a:schemeClr val="accent2"/>
                </a:solidFill>
              </a:rPr>
              <a:t>Timeline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sng" strike="noStrike" kern="1200" spc="0" baseline="0">
              <a:solidFill>
                <a:schemeClr val="accent2"/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F8D15197-60DA-2E48-9E14-E63931623B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15B-9A4D-A917-06305D4CE9E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9D10C52-DFC3-8F46-90BE-38416499FF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C15B-9A4D-A917-06305D4CE9E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C510EAE-C128-C148-B3DD-0B6EB6802C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C15B-9A4D-A917-06305D4CE9E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64C453C-6A98-1F43-BD69-568955A9C2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15B-9A4D-A917-06305D4CE9E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D53AF7C-DC9D-B145-8BF5-713C63102F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15B-9A4D-A917-06305D4CE9E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minus"/>
            <c:errValType val="percentage"/>
            <c:noEndCap val="0"/>
            <c:val val="100"/>
            <c:spPr>
              <a:noFill/>
              <a:ln w="9525" cap="flat" cmpd="sng" algn="ctr">
                <a:solidFill>
                  <a:srgbClr val="00B0F0"/>
                </a:solidFill>
                <a:round/>
                <a:headEnd type="oval" w="med" len="med"/>
                <a:tailEnd type="oval" w="med" len="med"/>
              </a:ln>
              <a:effectLst/>
            </c:spPr>
          </c:errBars>
          <c:cat>
            <c:numRef>
              <c:f>Overall!$B$8:$B$12</c:f>
              <c:numCache>
                <c:formatCode>d\-mmm\-yy</c:formatCode>
                <c:ptCount val="5"/>
                <c:pt idx="0">
                  <c:v>43709</c:v>
                </c:pt>
                <c:pt idx="1">
                  <c:v>43956</c:v>
                </c:pt>
                <c:pt idx="2">
                  <c:v>44196</c:v>
                </c:pt>
                <c:pt idx="3">
                  <c:v>44479</c:v>
                </c:pt>
                <c:pt idx="4">
                  <c:v>44803</c:v>
                </c:pt>
              </c:numCache>
            </c:numRef>
          </c:cat>
          <c:val>
            <c:numRef>
              <c:f>Overall!$C$8:$C$12</c:f>
              <c:numCache>
                <c:formatCode>General</c:formatCode>
                <c:ptCount val="5"/>
                <c:pt idx="0">
                  <c:v>3</c:v>
                </c:pt>
                <c:pt idx="1">
                  <c:v>-4</c:v>
                </c:pt>
                <c:pt idx="2">
                  <c:v>3</c:v>
                </c:pt>
                <c:pt idx="3">
                  <c:v>-4</c:v>
                </c:pt>
                <c:pt idx="4">
                  <c:v>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Overall!$A$8:$A$13</c15:f>
                <c15:dlblRangeCache>
                  <c:ptCount val="6"/>
                  <c:pt idx="0">
                    <c:v>R1</c:v>
                  </c:pt>
                  <c:pt idx="1">
                    <c:v>R2</c:v>
                  </c:pt>
                  <c:pt idx="2">
                    <c:v>R3</c:v>
                  </c:pt>
                  <c:pt idx="3">
                    <c:v>R4</c:v>
                  </c:pt>
                  <c:pt idx="4">
                    <c:v>R5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C15B-9A4D-A917-06305D4CE9E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07318624"/>
        <c:axId val="1036743328"/>
      </c:barChart>
      <c:dateAx>
        <c:axId val="607318624"/>
        <c:scaling>
          <c:orientation val="minMax"/>
          <c:max val="44928"/>
          <c:min val="43466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28575" cap="flat" cmpd="sng" algn="ctr">
            <a:solidFill>
              <a:srgbClr val="0070C0"/>
            </a:solidFill>
            <a:round/>
            <a:headEnd type="none" w="med" len="med"/>
            <a:tailEnd type="triangle" w="med" len="med"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036743328"/>
        <c:crosses val="autoZero"/>
        <c:auto val="1"/>
        <c:lblOffset val="100"/>
        <c:baseTimeUnit val="months"/>
        <c:majorUnit val="5"/>
        <c:majorTimeUnit val="months"/>
      </c:dateAx>
      <c:valAx>
        <c:axId val="1036743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607318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UpDiag">
      <a:fgClr>
        <a:schemeClr val="bg1">
          <a:lumMod val="95000"/>
        </a:schemeClr>
      </a:fgClr>
      <a:bgClr>
        <a:schemeClr val="bg1"/>
      </a:bgClr>
    </a:patt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cap="none" spc="0" normalizeH="0" baseline="0">
                <a:solidFill>
                  <a:schemeClr val="accent2"/>
                </a:solidFill>
                <a:latin typeface="+mn-lt"/>
                <a:ea typeface="+mj-ea"/>
                <a:cs typeface="+mj-cs"/>
              </a:defRPr>
            </a:pPr>
            <a:r>
              <a:rPr lang="en-US" sz="1400" u="sng">
                <a:solidFill>
                  <a:schemeClr val="accent2"/>
                </a:solidFill>
                <a:latin typeface="+mn-lt"/>
              </a:rPr>
              <a:t>Overall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cap="none" spc="0" normalizeH="0" baseline="0">
              <a:solidFill>
                <a:schemeClr val="accent2"/>
              </a:solidFill>
              <a:latin typeface="+mn-lt"/>
              <a:ea typeface="+mj-ea"/>
              <a:cs typeface="+mj-cs"/>
            </a:defRPr>
          </a:pPr>
          <a:endParaRPr lang="en-V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Overall!$B$29</c:f>
              <c:strCache>
                <c:ptCount val="1"/>
                <c:pt idx="0">
                  <c:v>Number of TCs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Overall!$A$30:$A$31</c:f>
              <c:strCache>
                <c:ptCount val="2"/>
                <c:pt idx="0">
                  <c:v>Login</c:v>
                </c:pt>
                <c:pt idx="1">
                  <c:v>Search</c:v>
                </c:pt>
              </c:strCache>
            </c:strRef>
          </c:cat>
          <c:val>
            <c:numRef>
              <c:f>Overall!$B$30:$B$31</c:f>
              <c:numCache>
                <c:formatCode>General</c:formatCode>
                <c:ptCount val="2"/>
                <c:pt idx="0">
                  <c:v>20</c:v>
                </c:pt>
                <c:pt idx="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12-5243-800A-4B69B1246BC1}"/>
            </c:ext>
          </c:extLst>
        </c:ser>
        <c:ser>
          <c:idx val="1"/>
          <c:order val="1"/>
          <c:tx>
            <c:strRef>
              <c:f>Overall!$C$29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Overall!$A$30:$A$31</c:f>
              <c:strCache>
                <c:ptCount val="2"/>
                <c:pt idx="0">
                  <c:v>Login</c:v>
                </c:pt>
                <c:pt idx="1">
                  <c:v>Search</c:v>
                </c:pt>
              </c:strCache>
            </c:strRef>
          </c:cat>
          <c:val>
            <c:numRef>
              <c:f>Overall!$C$30:$C$31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12-5243-800A-4B69B1246BC1}"/>
            </c:ext>
          </c:extLst>
        </c:ser>
        <c:ser>
          <c:idx val="2"/>
          <c:order val="2"/>
          <c:tx>
            <c:strRef>
              <c:f>Overall!$D$29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Overall!$A$30:$A$31</c:f>
              <c:strCache>
                <c:ptCount val="2"/>
                <c:pt idx="0">
                  <c:v>Login</c:v>
                </c:pt>
                <c:pt idx="1">
                  <c:v>Search</c:v>
                </c:pt>
              </c:strCache>
            </c:strRef>
          </c:cat>
          <c:val>
            <c:numRef>
              <c:f>Overall!$D$30:$D$31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12-5243-800A-4B69B1246BC1}"/>
            </c:ext>
          </c:extLst>
        </c:ser>
        <c:ser>
          <c:idx val="3"/>
          <c:order val="3"/>
          <c:tx>
            <c:strRef>
              <c:f>Overall!$E$29</c:f>
              <c:strCache>
                <c:ptCount val="1"/>
                <c:pt idx="0">
                  <c:v>Unexecuted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Overall!$A$30:$A$31</c:f>
              <c:strCache>
                <c:ptCount val="2"/>
                <c:pt idx="0">
                  <c:v>Login</c:v>
                </c:pt>
                <c:pt idx="1">
                  <c:v>Search</c:v>
                </c:pt>
              </c:strCache>
            </c:strRef>
          </c:cat>
          <c:val>
            <c:numRef>
              <c:f>Overall!$E$30:$E$31</c:f>
              <c:numCache>
                <c:formatCode>General</c:formatCode>
                <c:ptCount val="2"/>
                <c:pt idx="0">
                  <c:v>13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12-5243-800A-4B69B1246B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7"/>
        <c:overlap val="-43"/>
        <c:axId val="439065808"/>
        <c:axId val="1038849888"/>
      </c:barChart>
      <c:catAx>
        <c:axId val="439065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038849888"/>
        <c:crosses val="autoZero"/>
        <c:auto val="1"/>
        <c:lblAlgn val="ctr"/>
        <c:lblOffset val="100"/>
        <c:noMultiLvlLbl val="0"/>
      </c:catAx>
      <c:valAx>
        <c:axId val="103884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439065808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cap="none" spc="0" normalizeH="0" baseline="0">
                <a:solidFill>
                  <a:schemeClr val="accent2"/>
                </a:solidFill>
                <a:latin typeface="+mn-lt"/>
                <a:ea typeface="+mj-ea"/>
                <a:cs typeface="+mj-cs"/>
              </a:defRPr>
            </a:pPr>
            <a:r>
              <a:rPr lang="en-US" sz="1400" u="sng">
                <a:solidFill>
                  <a:schemeClr val="accent2"/>
                </a:solidFill>
                <a:latin typeface="+mn-lt"/>
              </a:rPr>
              <a:t>Test Contribution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cap="none" spc="0" normalizeH="0" baseline="0">
              <a:solidFill>
                <a:schemeClr val="accent2"/>
              </a:solidFill>
              <a:latin typeface="+mn-lt"/>
              <a:ea typeface="+mj-ea"/>
              <a:cs typeface="+mj-cs"/>
            </a:defRPr>
          </a:pPr>
          <a:endParaRPr lang="en-V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Overall!$B$35</c:f>
              <c:strCache>
                <c:ptCount val="1"/>
                <c:pt idx="0">
                  <c:v>Design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Overall!$A$36:$A$38</c:f>
              <c:strCache>
                <c:ptCount val="3"/>
                <c:pt idx="0">
                  <c:v>Tester 1</c:v>
                </c:pt>
                <c:pt idx="1">
                  <c:v>Tester 2</c:v>
                </c:pt>
                <c:pt idx="2">
                  <c:v>Tester 3</c:v>
                </c:pt>
              </c:strCache>
            </c:strRef>
          </c:cat>
          <c:val>
            <c:numRef>
              <c:f>Overall!$B$36:$B$38</c:f>
              <c:numCache>
                <c:formatCode>General</c:formatCode>
                <c:ptCount val="3"/>
                <c:pt idx="0">
                  <c:v>18</c:v>
                </c:pt>
                <c:pt idx="1">
                  <c:v>11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4A-8D47-A8DE-A6BDA933E9F4}"/>
            </c:ext>
          </c:extLst>
        </c:ser>
        <c:ser>
          <c:idx val="1"/>
          <c:order val="1"/>
          <c:tx>
            <c:strRef>
              <c:f>Overall!$C$35</c:f>
              <c:strCache>
                <c:ptCount val="1"/>
                <c:pt idx="0">
                  <c:v>Execution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Overall!$A$36:$A$38</c:f>
              <c:strCache>
                <c:ptCount val="3"/>
                <c:pt idx="0">
                  <c:v>Tester 1</c:v>
                </c:pt>
                <c:pt idx="1">
                  <c:v>Tester 2</c:v>
                </c:pt>
                <c:pt idx="2">
                  <c:v>Tester 3</c:v>
                </c:pt>
              </c:strCache>
            </c:strRef>
          </c:cat>
          <c:val>
            <c:numRef>
              <c:f>Overall!$C$36:$C$38</c:f>
              <c:numCache>
                <c:formatCode>General</c:formatCode>
                <c:ptCount val="3"/>
                <c:pt idx="0">
                  <c:v>19</c:v>
                </c:pt>
                <c:pt idx="1">
                  <c:v>9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4A-8D47-A8DE-A6BDA933E9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7"/>
        <c:overlap val="-43"/>
        <c:axId val="59341152"/>
        <c:axId val="59342880"/>
      </c:barChart>
      <c:catAx>
        <c:axId val="59341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59342880"/>
        <c:crosses val="autoZero"/>
        <c:auto val="1"/>
        <c:lblAlgn val="ctr"/>
        <c:lblOffset val="100"/>
        <c:noMultiLvlLbl val="0"/>
      </c:catAx>
      <c:valAx>
        <c:axId val="5934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59341152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r>
              <a:rPr lang="en-US" sz="1400" b="1" u="sng">
                <a:solidFill>
                  <a:schemeClr val="accent2"/>
                </a:solidFill>
              </a:rPr>
              <a:t>Overall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accent2"/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Overall!$C$29:$E$29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Unexecuted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Overall!$C$29:$E$29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Unexecuted</c:v>
                </c:pt>
              </c:strCache>
            </c:strRef>
          </c:cat>
          <c:val>
            <c:numRef>
              <c:f>Overall!$C$32:$E$32</c:f>
              <c:numCache>
                <c:formatCode>General</c:formatCode>
                <c:ptCount val="3"/>
                <c:pt idx="0">
                  <c:v>8</c:v>
                </c:pt>
                <c:pt idx="1">
                  <c:v>6</c:v>
                </c:pt>
                <c:pt idx="2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B7-F141-A7B0-8E6D7D1FFE1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ashHorz">
      <a:fgClr>
        <a:schemeClr val="bg2"/>
      </a:fgClr>
      <a:bgClr>
        <a:schemeClr val="bg1"/>
      </a:bgClr>
    </a:patt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444500</xdr:colOff>
      <xdr:row>1</xdr:row>
      <xdr:rowOff>25400</xdr:rowOff>
    </xdr:from>
    <xdr:to>
      <xdr:col>18</xdr:col>
      <xdr:colOff>101600</xdr:colOff>
      <xdr:row>13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4E368A-AD3A-7D01-1D7B-798BEC3C63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342900</xdr:colOff>
      <xdr:row>15</xdr:row>
      <xdr:rowOff>25400</xdr:rowOff>
    </xdr:from>
    <xdr:to>
      <xdr:col>18</xdr:col>
      <xdr:colOff>50800</xdr:colOff>
      <xdr:row>26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2AB8741-7C01-296E-142F-B755D8CCA3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431800</xdr:colOff>
      <xdr:row>28</xdr:row>
      <xdr:rowOff>88900</xdr:rowOff>
    </xdr:from>
    <xdr:to>
      <xdr:col>18</xdr:col>
      <xdr:colOff>0</xdr:colOff>
      <xdr:row>40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EE653A3-DCEE-4AE9-72A9-D313F5E963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431800</xdr:colOff>
      <xdr:row>15</xdr:row>
      <xdr:rowOff>0</xdr:rowOff>
    </xdr:from>
    <xdr:to>
      <xdr:col>12</xdr:col>
      <xdr:colOff>228600</xdr:colOff>
      <xdr:row>26</xdr:row>
      <xdr:rowOff>88900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071A3A4-18C7-6808-F0B4-483BA04E81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501A97-9745-4D47-B888-5A75CFAB2756}" name="Table1" displayName="Table1" ref="D2:E6" totalsRowShown="0" headerRowDxfId="88" dataDxfId="87">
  <autoFilter ref="D2:E6" xr:uid="{D7501A97-9745-4D47-B888-5A75CFAB2756}"/>
  <tableColumns count="2">
    <tableColumn id="1" xr3:uid="{CDBFB80F-ABC8-F14A-9CE4-137303107906}" name="PRIORITY" dataDxfId="86"/>
    <tableColumn id="2" xr3:uid="{E878BCA3-AF32-DD4D-8F8B-6C53BD546602}" name="STATUS" dataDxfId="85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E64E814-035E-4940-A4CE-C188B808E341}" name="Table4" displayName="Table4" ref="A2:B4" headerRowCount="0" totalsRowShown="0" headerRowDxfId="84" dataDxfId="83">
  <tableColumns count="2">
    <tableColumn id="1" xr3:uid="{04BD9FE4-03A2-A64D-92BC-C2FB0CF92E3A}" name="Column1" headerRowDxfId="82" dataDxfId="81"/>
    <tableColumn id="2" xr3:uid="{F3B878A1-2278-A348-A8E4-2B3B39160653}" name="Column2" headerRowDxfId="80" dataDxfId="79"/>
  </tableColumns>
  <tableStyleInfo name="TableStyleMedium2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778963A-74EF-A347-B06B-29CAE665F316}" name="Table5" displayName="Table5" ref="A14:D20" totalsRowShown="0" headerRowDxfId="78" dataDxfId="77">
  <autoFilter ref="A14:D20" xr:uid="{6778963A-74EF-A347-B06B-29CAE665F316}"/>
  <tableColumns count="4">
    <tableColumn id="1" xr3:uid="{285D0A45-9949-1D42-80C6-93EA8017B330}" name="Person in charge (POC)" dataDxfId="76"/>
    <tableColumn id="2" xr3:uid="{1A9574C0-6FFF-7847-8327-1797BC0CBABB}" name="Name" dataDxfId="75"/>
    <tableColumn id="3" xr3:uid="{48F50A03-EDA4-1047-85C8-ECD009200CCA}" name="Email" dataDxfId="74"/>
    <tableColumn id="4" xr3:uid="{BA1F6E34-53BD-674F-9159-FA5F2D02948F}" name="Phone" dataDxfId="73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6112085-1E47-E647-9B0C-6E1931C37039}" name="Table6" displayName="Table6" ref="A23:D26" totalsRowShown="0" headerRowDxfId="72" dataDxfId="71">
  <autoFilter ref="A23:D26" xr:uid="{36112085-1E47-E647-9B0C-6E1931C37039}"/>
  <tableColumns count="4">
    <tableColumn id="1" xr3:uid="{F75C698A-5B25-6B4B-AC4B-A5E070DBC45A}" name="No." dataDxfId="70"/>
    <tableColumn id="2" xr3:uid="{1033958C-0405-7741-A457-7D7FABAA9949}" name="Name" dataDxfId="69"/>
    <tableColumn id="3" xr3:uid="{44D40AFC-B1E6-7C45-BA6A-94B102167D5C}" name="Email" dataDxfId="68" dataCellStyle="Hyperlink"/>
    <tableColumn id="4" xr3:uid="{808A69DB-8EEE-094F-AFF8-14BDE2A0FBBA}" name="Phone" dataDxfId="67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3C68260-8F1B-BF4D-B542-152E4515C232}" name="Table7" displayName="Table7" ref="A7:B12" totalsRowShown="0" headerRowDxfId="34">
  <autoFilter ref="A7:B12" xr:uid="{03C68260-8F1B-BF4D-B542-152E4515C232}"/>
  <tableColumns count="2">
    <tableColumn id="1" xr3:uid="{AC203279-EC52-404D-B70C-46D4D01757A0}" name="Release" dataDxfId="33"/>
    <tableColumn id="2" xr3:uid="{44CA498B-B862-3B48-BD75-52544F5C68A3}" name="Date" dataDxfId="3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B0CF245-DDE3-904F-9213-58DD667E9622}" name="Table8" displayName="Table8" ref="A29:E31" totalsRowShown="0" headerRowDxfId="31" dataDxfId="30">
  <autoFilter ref="A29:E31" xr:uid="{0B0CF245-DDE3-904F-9213-58DD667E9622}"/>
  <tableColumns count="5">
    <tableColumn id="1" xr3:uid="{A8583667-9857-634A-B3DE-2B23B4F059C5}" name="Feature" dataDxfId="29"/>
    <tableColumn id="2" xr3:uid="{B1E5F7FC-D25E-6B45-9C11-E021A6557571}" name="Number of TCs" dataDxfId="28">
      <calculatedColumnFormula>SUM(Table8[[#This Row],[Passed]:[Unexecuted]])</calculatedColumnFormula>
    </tableColumn>
    <tableColumn id="3" xr3:uid="{E5FF8B00-F47D-8F4E-A7CB-93C1A04FBCCC}" name="Passed" dataDxfId="27">
      <calculatedColumnFormula>COUNTIF(Table24[STATUS],Overall!$E$3)</calculatedColumnFormula>
    </tableColumn>
    <tableColumn id="4" xr3:uid="{71967447-9ED6-434D-A930-9C1CB4BE79F6}" name="Failed" dataDxfId="26">
      <calculatedColumnFormula>COUNTIF(Table24[STATUS],Overall!$E$4)</calculatedColumnFormula>
    </tableColumn>
    <tableColumn id="5" xr3:uid="{230E1DBA-5A9D-C545-BA3C-3F1F253830DE}" name="Unexecuted" dataDxfId="25">
      <calculatedColumnFormula>COUNTIF(Table24[STATUS],Overall!$E$5)</calculatedColumnFormula>
    </tableColumn>
  </tableColumns>
  <tableStyleInfo name="TableStyleLight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37D4599-7321-3A4A-8C70-630A8E111FC4}" name="Table9" displayName="Table9" ref="A35:C38" totalsRowShown="0">
  <autoFilter ref="A35:C38" xr:uid="{737D4599-7321-3A4A-8C70-630A8E111FC4}"/>
  <tableColumns count="3">
    <tableColumn id="1" xr3:uid="{4688BD08-AD26-A843-B8C0-CA3DA9A3DB9D}" name="POC" dataDxfId="22"/>
    <tableColumn id="2" xr3:uid="{B21D514A-F9F4-EE4F-ABDE-73CAA661A11B}" name="Design" dataDxfId="24">
      <calculatedColumnFormula>SUM(COUNTIF(INDIRECT("Table2[DESIGN_BY]"),"="&amp;A36), COUNTIF(INDIRECT("Table24[DESIGN_BY]"),"="&amp;A36))</calculatedColumnFormula>
    </tableColumn>
    <tableColumn id="3" xr3:uid="{5AA0EDDA-58BD-CE4E-B961-7C91C7452824}" name="Execution" dataDxfId="23">
      <calculatedColumnFormula>SUM(COUNTIF(INDIRECT("Table2[EXECUTE_BY]"),"="&amp;A36), COUNTIF(INDIRECT("Table24[EXECUTE_BY]"),"="&amp;A36))</calculatedColumnFormula>
    </tableColumn>
  </tableColumns>
  <tableStyleInfo name="TableStyleLight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7EF641-A17D-DD48-888B-2374C410E209}" name="Table2" displayName="Table2" ref="A1:N21" totalsRowShown="0" headerRowDxfId="66" dataDxfId="65">
  <autoFilter ref="A1:N21" xr:uid="{977EF641-A17D-DD48-888B-2374C410E209}"/>
  <tableColumns count="14">
    <tableColumn id="1" xr3:uid="{B4B16BF8-3374-5446-AC04-FFAE0191AF55}" name="ID" dataDxfId="64"/>
    <tableColumn id="2" xr3:uid="{B2FAF020-03B3-5741-9048-F0EE5C7C7C19}" name="NAME" dataDxfId="63"/>
    <tableColumn id="3" xr3:uid="{7EA0E209-AB18-9849-8220-E25C018CBE38}" name="PRECONDITION" dataDxfId="62"/>
    <tableColumn id="4" xr3:uid="{965EF96E-116B-B34F-A980-782CEE3FCC2B}" name="TEST_STEP" dataDxfId="61"/>
    <tableColumn id="5" xr3:uid="{2A229473-47FC-6746-A191-4CB939822C66}" name="TEST_DATA" dataDxfId="60"/>
    <tableColumn id="6" xr3:uid="{7BD98716-882B-7849-A0DB-4FEBA6610121}" name="EXPECTED_RESULT" dataDxfId="59"/>
    <tableColumn id="7" xr3:uid="{76BBDA38-94B8-2E4F-BE6D-40232F510044}" name="POST_CONDITION" dataDxfId="58"/>
    <tableColumn id="8" xr3:uid="{92C06BDD-43D9-C04E-A935-3D5E9CEAF6F4}" name="PRIORITY" dataDxfId="57"/>
    <tableColumn id="9" xr3:uid="{C9AE3AA1-DDC2-3941-9B59-0E06D4A8E939}" name="ACTUAL_RESULT" dataDxfId="56"/>
    <tableColumn id="10" xr3:uid="{EDC39FE2-2705-C042-811D-05EF6DBB302B}" name="STATUS" dataDxfId="55"/>
    <tableColumn id="11" xr3:uid="{8AD09C65-2EB4-2F40-88FC-20FE7475A697}" name="DESIGN_BY" dataDxfId="54"/>
    <tableColumn id="12" xr3:uid="{E6893C8E-34EC-D542-B9CE-7D2D01E7CCF5}" name="DESIGN_DATE" dataDxfId="53"/>
    <tableColumn id="13" xr3:uid="{F6E1FBB8-1FE7-C74B-83C2-DB910ED73B1B}" name="EXECUTE_BY" dataDxfId="52"/>
    <tableColumn id="14" xr3:uid="{6AAA8167-077E-3544-A1A2-7CE54E9255D3}" name="EXECUTE_DATE" dataDxfId="51"/>
  </tableColumns>
  <tableStyleInfo name="TableStyleLight2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5437CEC-D3CF-A246-856E-AC01A2CA0E15}" name="Table24" displayName="Table24" ref="A1:N16" totalsRowShown="0" headerRowDxfId="50" dataDxfId="49">
  <autoFilter ref="A1:N16" xr:uid="{977EF641-A17D-DD48-888B-2374C410E209}"/>
  <tableColumns count="14">
    <tableColumn id="1" xr3:uid="{32866C7D-5C03-EB44-B118-AFF5D355C8DC}" name="ID" dataDxfId="48"/>
    <tableColumn id="2" xr3:uid="{64A08A54-A29D-4F48-A873-89F3CB6211AB}" name="NAME" dataDxfId="47"/>
    <tableColumn id="3" xr3:uid="{FA2CAA2A-578A-7849-95C5-019F4F35058C}" name="PRECONDITION" dataDxfId="46"/>
    <tableColumn id="4" xr3:uid="{F4E27488-4235-7347-8C41-DD467C987854}" name="TEST_STEP" dataDxfId="45"/>
    <tableColumn id="5" xr3:uid="{3F421DE3-F296-6E43-9708-7FD0EE9E0A68}" name="TEST_DATA" dataDxfId="44"/>
    <tableColumn id="6" xr3:uid="{3149FC36-D634-7844-82E4-D41F67E7E8FF}" name="EXPECTED_RESULT" dataDxfId="43"/>
    <tableColumn id="7" xr3:uid="{875E2255-1EE4-CF41-9B76-1D7F8E54645A}" name="POST_CONDITION" dataDxfId="42"/>
    <tableColumn id="8" xr3:uid="{32AA2861-5C8D-1841-A6EC-D3C879EFF023}" name="PRIORITY" dataDxfId="41"/>
    <tableColumn id="9" xr3:uid="{ED45AF93-6AB4-D24F-B082-E75BA0D3230F}" name="ACTUAL_RESULT" dataDxfId="40"/>
    <tableColumn id="10" xr3:uid="{E982FA42-1221-7048-A5BF-4008CA07B179}" name="STATUS" dataDxfId="39"/>
    <tableColumn id="11" xr3:uid="{9AEED035-DAB4-9740-A3C6-385647AD3410}" name="DESIGN_BY" dataDxfId="38"/>
    <tableColumn id="12" xr3:uid="{900F642F-A97D-724E-9454-C130DA5C340E}" name="DESIGN_DATE" dataDxfId="37"/>
    <tableColumn id="13" xr3:uid="{6399BB2B-4F61-9A4D-8F1C-68EA1DF1D519}" name="EXECUTE_BY" dataDxfId="36"/>
    <tableColumn id="14" xr3:uid="{34C4C347-E293-4448-B33D-06AF4080F0A6}" name="EXECUTE_DATE" dataDxfId="35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hyperlink" Target="mailto:tester1@abcmail.com" TargetMode="External"/><Relationship Id="rId7" Type="http://schemas.openxmlformats.org/officeDocument/2006/relationships/table" Target="../tables/table2.xml"/><Relationship Id="rId12" Type="http://schemas.openxmlformats.org/officeDocument/2006/relationships/table" Target="../tables/table7.xml"/><Relationship Id="rId2" Type="http://schemas.openxmlformats.org/officeDocument/2006/relationships/hyperlink" Target="mailto:abc@xyz.com" TargetMode="External"/><Relationship Id="rId1" Type="http://schemas.openxmlformats.org/officeDocument/2006/relationships/hyperlink" Target="mailto:abc@xyz.com" TargetMode="External"/><Relationship Id="rId6" Type="http://schemas.openxmlformats.org/officeDocument/2006/relationships/table" Target="../tables/table1.xml"/><Relationship Id="rId11" Type="http://schemas.openxmlformats.org/officeDocument/2006/relationships/table" Target="../tables/table6.xml"/><Relationship Id="rId5" Type="http://schemas.openxmlformats.org/officeDocument/2006/relationships/drawing" Target="../drawings/drawing1.xml"/><Relationship Id="rId10" Type="http://schemas.openxmlformats.org/officeDocument/2006/relationships/table" Target="../tables/table5.xml"/><Relationship Id="rId4" Type="http://schemas.openxmlformats.org/officeDocument/2006/relationships/hyperlink" Target="mailto:tester1@abcmail.com" TargetMode="External"/><Relationship Id="rId9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319C5-61D6-4349-85C4-167ED413AF90}">
  <dimension ref="A1:E38"/>
  <sheetViews>
    <sheetView tabSelected="1" zoomScaleNormal="100" workbookViewId="0">
      <selection activeCell="H15" sqref="H15"/>
    </sheetView>
  </sheetViews>
  <sheetFormatPr baseColWidth="10" defaultRowHeight="19" x14ac:dyDescent="0.25"/>
  <cols>
    <col min="1" max="1" width="26" style="4" bestFit="1" customWidth="1"/>
    <col min="2" max="2" width="21" style="4" bestFit="1" customWidth="1"/>
    <col min="3" max="3" width="19.5" style="4" bestFit="1" customWidth="1"/>
    <col min="4" max="4" width="15.1640625" style="4" bestFit="1" customWidth="1"/>
    <col min="5" max="5" width="14.83203125" style="4" customWidth="1"/>
    <col min="6" max="6" width="12.6640625" style="4" bestFit="1" customWidth="1"/>
    <col min="7" max="7" width="14.1640625" style="4" bestFit="1" customWidth="1"/>
    <col min="8" max="11" width="10.83203125" style="4"/>
    <col min="12" max="12" width="12.6640625" style="4" bestFit="1" customWidth="1"/>
    <col min="13" max="13" width="14.1640625" style="4" bestFit="1" customWidth="1"/>
    <col min="14" max="16384" width="10.83203125" style="4"/>
  </cols>
  <sheetData>
    <row r="1" spans="1:5" x14ac:dyDescent="0.25">
      <c r="A1" s="3" t="s">
        <v>74</v>
      </c>
      <c r="B1" s="5"/>
      <c r="D1" s="14" t="s">
        <v>22</v>
      </c>
      <c r="E1" s="14"/>
    </row>
    <row r="2" spans="1:5" x14ac:dyDescent="0.25">
      <c r="A2" s="6" t="s">
        <v>21</v>
      </c>
      <c r="B2" s="7" t="s">
        <v>75</v>
      </c>
      <c r="D2" s="4" t="s">
        <v>8</v>
      </c>
      <c r="E2" s="1" t="s">
        <v>10</v>
      </c>
    </row>
    <row r="3" spans="1:5" x14ac:dyDescent="0.25">
      <c r="A3" s="6" t="s">
        <v>73</v>
      </c>
      <c r="B3" s="8">
        <v>43466</v>
      </c>
      <c r="D3" s="4" t="s">
        <v>23</v>
      </c>
      <c r="E3" s="4" t="s">
        <v>27</v>
      </c>
    </row>
    <row r="4" spans="1:5" x14ac:dyDescent="0.25">
      <c r="A4" s="6" t="s">
        <v>76</v>
      </c>
      <c r="B4" s="8">
        <v>44928</v>
      </c>
      <c r="D4" s="4" t="s">
        <v>24</v>
      </c>
      <c r="E4" s="4" t="s">
        <v>28</v>
      </c>
    </row>
    <row r="5" spans="1:5" x14ac:dyDescent="0.25">
      <c r="A5" s="6"/>
      <c r="B5" s="8"/>
      <c r="D5" s="4" t="s">
        <v>25</v>
      </c>
      <c r="E5" s="4" t="s">
        <v>29</v>
      </c>
    </row>
    <row r="6" spans="1:5" x14ac:dyDescent="0.25">
      <c r="A6" s="3" t="s">
        <v>101</v>
      </c>
      <c r="B6" s="8"/>
      <c r="D6" s="4" t="s">
        <v>26</v>
      </c>
    </row>
    <row r="7" spans="1:5" x14ac:dyDescent="0.25">
      <c r="A7" s="6" t="s">
        <v>102</v>
      </c>
      <c r="B7" s="16" t="s">
        <v>108</v>
      </c>
      <c r="C7" s="17" t="s">
        <v>109</v>
      </c>
    </row>
    <row r="8" spans="1:5" x14ac:dyDescent="0.25">
      <c r="A8" s="4" t="s">
        <v>103</v>
      </c>
      <c r="B8" s="15">
        <v>43709</v>
      </c>
      <c r="C8" s="17">
        <v>3</v>
      </c>
    </row>
    <row r="9" spans="1:5" x14ac:dyDescent="0.25">
      <c r="A9" s="4" t="s">
        <v>104</v>
      </c>
      <c r="B9" s="15">
        <v>43956</v>
      </c>
      <c r="C9" s="17">
        <v>-4</v>
      </c>
    </row>
    <row r="10" spans="1:5" x14ac:dyDescent="0.25">
      <c r="A10" s="4" t="s">
        <v>105</v>
      </c>
      <c r="B10" s="15">
        <v>44196</v>
      </c>
      <c r="C10" s="17">
        <v>3</v>
      </c>
    </row>
    <row r="11" spans="1:5" x14ac:dyDescent="0.25">
      <c r="A11" s="4" t="s">
        <v>106</v>
      </c>
      <c r="B11" s="15">
        <v>44479</v>
      </c>
      <c r="C11" s="17">
        <v>-4</v>
      </c>
    </row>
    <row r="12" spans="1:5" x14ac:dyDescent="0.25">
      <c r="A12" s="4" t="s">
        <v>107</v>
      </c>
      <c r="B12" s="15">
        <v>44803</v>
      </c>
      <c r="C12" s="17">
        <v>3</v>
      </c>
    </row>
    <row r="14" spans="1:5" x14ac:dyDescent="0.25">
      <c r="A14" s="4" t="s">
        <v>89</v>
      </c>
      <c r="B14" s="4" t="s">
        <v>90</v>
      </c>
      <c r="C14" s="4" t="s">
        <v>91</v>
      </c>
      <c r="D14" s="4" t="s">
        <v>92</v>
      </c>
    </row>
    <row r="15" spans="1:5" x14ac:dyDescent="0.25">
      <c r="A15" s="4" t="s">
        <v>77</v>
      </c>
      <c r="B15" s="4" t="s">
        <v>78</v>
      </c>
      <c r="C15" s="9" t="s">
        <v>93</v>
      </c>
      <c r="D15" s="10" t="s">
        <v>94</v>
      </c>
    </row>
    <row r="16" spans="1:5" x14ac:dyDescent="0.25">
      <c r="A16" s="4" t="s">
        <v>79</v>
      </c>
      <c r="B16" s="4" t="s">
        <v>80</v>
      </c>
      <c r="C16" s="9" t="s">
        <v>93</v>
      </c>
      <c r="D16" s="10" t="s">
        <v>94</v>
      </c>
    </row>
    <row r="17" spans="1:5" x14ac:dyDescent="0.25">
      <c r="A17" s="4" t="s">
        <v>84</v>
      </c>
      <c r="B17" s="4" t="s">
        <v>81</v>
      </c>
      <c r="C17" s="9" t="s">
        <v>93</v>
      </c>
      <c r="D17" s="10" t="s">
        <v>94</v>
      </c>
    </row>
    <row r="18" spans="1:5" x14ac:dyDescent="0.25">
      <c r="A18" s="4" t="s">
        <v>82</v>
      </c>
      <c r="B18" s="4" t="s">
        <v>83</v>
      </c>
      <c r="C18" s="9" t="s">
        <v>93</v>
      </c>
      <c r="D18" s="10" t="s">
        <v>94</v>
      </c>
    </row>
    <row r="19" spans="1:5" x14ac:dyDescent="0.25">
      <c r="A19" s="4" t="s">
        <v>85</v>
      </c>
      <c r="B19" s="4" t="s">
        <v>86</v>
      </c>
      <c r="C19" s="9" t="s">
        <v>93</v>
      </c>
      <c r="D19" s="10" t="s">
        <v>94</v>
      </c>
    </row>
    <row r="20" spans="1:5" x14ac:dyDescent="0.25">
      <c r="A20" s="4" t="s">
        <v>87</v>
      </c>
      <c r="B20" s="4" t="s">
        <v>88</v>
      </c>
      <c r="C20" s="9" t="s">
        <v>93</v>
      </c>
      <c r="D20" s="10" t="s">
        <v>94</v>
      </c>
    </row>
    <row r="22" spans="1:5" x14ac:dyDescent="0.25">
      <c r="A22" s="3" t="s">
        <v>100</v>
      </c>
    </row>
    <row r="23" spans="1:5" x14ac:dyDescent="0.25">
      <c r="A23" s="4" t="s">
        <v>95</v>
      </c>
      <c r="B23" s="4" t="s">
        <v>90</v>
      </c>
      <c r="C23" s="4" t="s">
        <v>91</v>
      </c>
      <c r="D23" s="4" t="s">
        <v>92</v>
      </c>
    </row>
    <row r="24" spans="1:5" x14ac:dyDescent="0.25">
      <c r="A24" s="4">
        <v>1</v>
      </c>
      <c r="B24" s="4" t="s">
        <v>96</v>
      </c>
      <c r="C24" s="12" t="s">
        <v>97</v>
      </c>
      <c r="D24" s="11" t="s">
        <v>94</v>
      </c>
    </row>
    <row r="25" spans="1:5" x14ac:dyDescent="0.25">
      <c r="A25" s="4">
        <v>2</v>
      </c>
      <c r="B25" s="4" t="s">
        <v>98</v>
      </c>
      <c r="C25" s="12" t="s">
        <v>97</v>
      </c>
      <c r="D25" s="11" t="s">
        <v>94</v>
      </c>
    </row>
    <row r="26" spans="1:5" x14ac:dyDescent="0.25">
      <c r="A26" s="4">
        <v>3</v>
      </c>
      <c r="B26" s="4" t="s">
        <v>99</v>
      </c>
      <c r="C26" s="12" t="s">
        <v>97</v>
      </c>
      <c r="D26" s="11" t="s">
        <v>94</v>
      </c>
    </row>
    <row r="28" spans="1:5" x14ac:dyDescent="0.25">
      <c r="A28" s="3" t="s">
        <v>133</v>
      </c>
    </row>
    <row r="29" spans="1:5" x14ac:dyDescent="0.25">
      <c r="A29" s="4" t="s">
        <v>126</v>
      </c>
      <c r="B29" s="4" t="s">
        <v>127</v>
      </c>
      <c r="C29" s="4" t="s">
        <v>130</v>
      </c>
      <c r="D29" s="4" t="s">
        <v>131</v>
      </c>
      <c r="E29" s="4" t="s">
        <v>132</v>
      </c>
    </row>
    <row r="30" spans="1:5" x14ac:dyDescent="0.25">
      <c r="A30" s="4" t="s">
        <v>128</v>
      </c>
      <c r="B30" s="4">
        <f>SUM(Table8[[#This Row],[Passed]:[Unexecuted]])</f>
        <v>20</v>
      </c>
      <c r="C30" s="4">
        <f>COUNTIF(Table2[STATUS],Overall!$E$3)</f>
        <v>4</v>
      </c>
      <c r="D30" s="4">
        <f>COUNTIF(Table2[STATUS],Overall!$E$4)</f>
        <v>3</v>
      </c>
      <c r="E30" s="4">
        <f>COUNTIF(Table2[STATUS],Overall!$E$5)</f>
        <v>13</v>
      </c>
    </row>
    <row r="31" spans="1:5" x14ac:dyDescent="0.25">
      <c r="A31" s="4" t="s">
        <v>129</v>
      </c>
      <c r="B31" s="4">
        <f>SUM(Table8[[#This Row],[Passed]:[Unexecuted]])</f>
        <v>15</v>
      </c>
      <c r="C31" s="4">
        <f>COUNTIF(Table24[STATUS],Overall!$E$3)</f>
        <v>4</v>
      </c>
      <c r="D31" s="4">
        <f>COUNTIF(Table24[STATUS],Overall!$E$4)</f>
        <v>3</v>
      </c>
      <c r="E31" s="4">
        <f>COUNTIF(Table24[STATUS],Overall!$E$5)</f>
        <v>8</v>
      </c>
    </row>
    <row r="32" spans="1:5" x14ac:dyDescent="0.25">
      <c r="A32" s="18" t="s">
        <v>134</v>
      </c>
      <c r="B32" s="3">
        <f>SUM(Table8[Number of TCs])</f>
        <v>35</v>
      </c>
      <c r="C32" s="3">
        <f>SUM(Table8[Passed])</f>
        <v>8</v>
      </c>
      <c r="D32" s="3">
        <f>SUM(Table8[Failed])</f>
        <v>6</v>
      </c>
      <c r="E32" s="3">
        <f>SUM(Table8[Unexecuted])</f>
        <v>21</v>
      </c>
    </row>
    <row r="34" spans="1:3" x14ac:dyDescent="0.25">
      <c r="A34" s="3" t="s">
        <v>138</v>
      </c>
    </row>
    <row r="35" spans="1:3" x14ac:dyDescent="0.25">
      <c r="A35" s="4" t="s">
        <v>135</v>
      </c>
      <c r="B35" s="4" t="s">
        <v>136</v>
      </c>
      <c r="C35" s="19" t="s">
        <v>137</v>
      </c>
    </row>
    <row r="36" spans="1:3" x14ac:dyDescent="0.25">
      <c r="A36" s="20" t="s">
        <v>96</v>
      </c>
      <c r="B36" s="4">
        <f ca="1">SUM(COUNTIF(INDIRECT("Table2[DESIGN_BY]"),"="&amp;A36), COUNTIF(INDIRECT("Table24[DESIGN_BY]"),"="&amp;A36))</f>
        <v>18</v>
      </c>
      <c r="C36" s="4">
        <f ca="1">SUM(COUNTIF(INDIRECT("Table2[EXECUTE_BY]"),"="&amp;A36), COUNTIF(INDIRECT("Table24[EXECUTE_BY]"),"="&amp;A36))</f>
        <v>19</v>
      </c>
    </row>
    <row r="37" spans="1:3" x14ac:dyDescent="0.25">
      <c r="A37" s="20" t="s">
        <v>98</v>
      </c>
      <c r="B37" s="4">
        <f t="shared" ref="B37:B38" ca="1" si="0">SUM(COUNTIF(INDIRECT("Table2[DESIGN_BY]"),"="&amp;A37), COUNTIF(INDIRECT("Table24[DESIGN_BY]"),"="&amp;A37))</f>
        <v>11</v>
      </c>
      <c r="C37" s="4">
        <f t="shared" ref="C37:C38" ca="1" si="1">SUM(COUNTIF(INDIRECT("Table2[EXECUTE_BY]"),"="&amp;A37), COUNTIF(INDIRECT("Table24[EXECUTE_BY]"),"="&amp;A37))</f>
        <v>9</v>
      </c>
    </row>
    <row r="38" spans="1:3" x14ac:dyDescent="0.25">
      <c r="A38" s="20" t="s">
        <v>99</v>
      </c>
      <c r="B38" s="4">
        <f t="shared" ca="1" si="0"/>
        <v>6</v>
      </c>
      <c r="C38" s="4">
        <f t="shared" ca="1" si="1"/>
        <v>7</v>
      </c>
    </row>
  </sheetData>
  <mergeCells count="1">
    <mergeCell ref="D1:E1"/>
  </mergeCells>
  <phoneticPr fontId="3" type="noConversion"/>
  <conditionalFormatting sqref="D3:D6">
    <cfRule type="cellIs" dxfId="21" priority="4" operator="equal">
      <formula>$D$6</formula>
    </cfRule>
    <cfRule type="cellIs" dxfId="20" priority="5" operator="equal">
      <formula>$D$5</formula>
    </cfRule>
    <cfRule type="cellIs" dxfId="19" priority="6" operator="equal">
      <formula>$D$4</formula>
    </cfRule>
    <cfRule type="cellIs" dxfId="18" priority="7" operator="equal">
      <formula>$D$3</formula>
    </cfRule>
  </conditionalFormatting>
  <conditionalFormatting sqref="E3:E5">
    <cfRule type="cellIs" dxfId="17" priority="1" operator="equal">
      <formula>$E$5</formula>
    </cfRule>
    <cfRule type="cellIs" dxfId="16" priority="2" operator="equal">
      <formula>$E$3</formula>
    </cfRule>
    <cfRule type="cellIs" dxfId="15" priority="3" operator="equal">
      <formula>$E$4</formula>
    </cfRule>
  </conditionalFormatting>
  <conditionalFormatting sqref="H2:H29">
    <cfRule type="cellIs" dxfId="0" priority="16" operator="equal">
      <formula>$D$3</formula>
    </cfRule>
  </conditionalFormatting>
  <hyperlinks>
    <hyperlink ref="C15" r:id="rId1" xr:uid="{4380BBC4-3C04-C447-8199-8B2E49485986}"/>
    <hyperlink ref="C16:C20" r:id="rId2" display="abc@xyz.com" xr:uid="{6CB46446-FF0B-264C-839F-C545931920A2}"/>
    <hyperlink ref="C24" r:id="rId3" xr:uid="{0F9B94BC-4DD4-7648-AD87-7BE4E162A16D}"/>
    <hyperlink ref="C25:C26" r:id="rId4" display="tester1@abcmail.com" xr:uid="{505D50A2-FF3D-3047-BDDD-511646C5DAE5}"/>
  </hyperlinks>
  <pageMargins left="0.7" right="0.7" top="0.75" bottom="0.75" header="0.3" footer="0.3"/>
  <drawing r:id="rId5"/>
  <tableParts count="7">
    <tablePart r:id="rId6"/>
    <tablePart r:id="rId7"/>
    <tablePart r:id="rId8"/>
    <tablePart r:id="rId9"/>
    <tablePart r:id="rId10"/>
    <tablePart r:id="rId11"/>
    <tablePart r:id="rId1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41F96-D5C3-9E43-A288-6538EF4B99BE}">
  <dimension ref="A1:N21"/>
  <sheetViews>
    <sheetView workbookViewId="0">
      <selection activeCell="M1" sqref="M1"/>
    </sheetView>
  </sheetViews>
  <sheetFormatPr baseColWidth="10" defaultRowHeight="19" x14ac:dyDescent="0.2"/>
  <cols>
    <col min="1" max="1" width="6.6640625" style="1" bestFit="1" customWidth="1"/>
    <col min="2" max="2" width="62.5" style="1" bestFit="1" customWidth="1"/>
    <col min="3" max="3" width="29.33203125" style="1" bestFit="1" customWidth="1"/>
    <col min="4" max="4" width="19" style="1" bestFit="1" customWidth="1"/>
    <col min="5" max="5" width="23.33203125" style="1" bestFit="1" customWidth="1"/>
    <col min="6" max="6" width="22.1640625" style="1" bestFit="1" customWidth="1"/>
    <col min="7" max="7" width="23.6640625" style="1" bestFit="1" customWidth="1"/>
    <col min="8" max="8" width="12.6640625" style="1" bestFit="1" customWidth="1"/>
    <col min="9" max="9" width="19.83203125" style="1" bestFit="1" customWidth="1"/>
    <col min="10" max="10" width="14.1640625" style="1" bestFit="1" customWidth="1"/>
    <col min="11" max="11" width="14.83203125" style="1" bestFit="1" customWidth="1"/>
    <col min="12" max="12" width="17.5" style="1" bestFit="1" customWidth="1"/>
    <col min="13" max="13" width="16" style="1" bestFit="1" customWidth="1"/>
    <col min="14" max="14" width="18.83203125" style="1" bestFit="1" customWidth="1"/>
    <col min="15" max="16384" width="10.83203125" style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6</v>
      </c>
      <c r="G1" s="1" t="s">
        <v>4</v>
      </c>
      <c r="H1" s="1" t="s">
        <v>8</v>
      </c>
      <c r="I1" s="1" t="s">
        <v>7</v>
      </c>
      <c r="J1" s="1" t="s">
        <v>10</v>
      </c>
      <c r="K1" s="1" t="s">
        <v>9</v>
      </c>
      <c r="L1" s="1" t="s">
        <v>11</v>
      </c>
      <c r="M1" s="1" t="s">
        <v>12</v>
      </c>
      <c r="N1" s="1" t="s">
        <v>13</v>
      </c>
    </row>
    <row r="2" spans="1:14" ht="120" x14ac:dyDescent="0.2">
      <c r="A2" s="1" t="s">
        <v>17</v>
      </c>
      <c r="B2" s="1" t="s">
        <v>14</v>
      </c>
      <c r="C2" s="1" t="s">
        <v>15</v>
      </c>
      <c r="D2" s="2" t="s">
        <v>16</v>
      </c>
      <c r="E2" s="1" t="s">
        <v>18</v>
      </c>
      <c r="F2" s="1" t="s">
        <v>19</v>
      </c>
      <c r="G2" s="1" t="s">
        <v>20</v>
      </c>
      <c r="H2" s="1" t="s">
        <v>23</v>
      </c>
      <c r="I2" s="1" t="s">
        <v>19</v>
      </c>
      <c r="J2" s="1" t="s">
        <v>27</v>
      </c>
      <c r="K2" s="1" t="s">
        <v>96</v>
      </c>
      <c r="L2" s="13">
        <v>44824</v>
      </c>
      <c r="M2" s="1" t="s">
        <v>96</v>
      </c>
      <c r="N2" s="13">
        <v>44824</v>
      </c>
    </row>
    <row r="3" spans="1:14" ht="60" x14ac:dyDescent="0.2">
      <c r="A3" s="1" t="s">
        <v>30</v>
      </c>
      <c r="B3" s="1" t="s">
        <v>49</v>
      </c>
      <c r="C3" s="1" t="s">
        <v>68</v>
      </c>
      <c r="D3" s="2" t="s">
        <v>69</v>
      </c>
      <c r="E3" s="1" t="s">
        <v>70</v>
      </c>
      <c r="F3" s="1" t="s">
        <v>71</v>
      </c>
      <c r="H3" s="1" t="s">
        <v>24</v>
      </c>
      <c r="I3" s="1" t="s">
        <v>72</v>
      </c>
      <c r="J3" s="1" t="s">
        <v>28</v>
      </c>
      <c r="K3" s="1" t="s">
        <v>96</v>
      </c>
      <c r="L3" s="13">
        <v>44824</v>
      </c>
      <c r="M3" s="1" t="s">
        <v>96</v>
      </c>
      <c r="N3" s="13">
        <v>44824</v>
      </c>
    </row>
    <row r="4" spans="1:14" ht="60" x14ac:dyDescent="0.2">
      <c r="A4" s="1" t="s">
        <v>31</v>
      </c>
      <c r="B4" s="1" t="s">
        <v>50</v>
      </c>
      <c r="C4" s="1" t="s">
        <v>68</v>
      </c>
      <c r="D4" s="2" t="s">
        <v>69</v>
      </c>
      <c r="F4" s="1" t="s">
        <v>71</v>
      </c>
      <c r="H4" s="1" t="s">
        <v>25</v>
      </c>
      <c r="I4" s="1" t="s">
        <v>72</v>
      </c>
      <c r="J4" s="1" t="s">
        <v>29</v>
      </c>
      <c r="K4" s="1" t="s">
        <v>96</v>
      </c>
      <c r="L4" s="13">
        <v>44824</v>
      </c>
      <c r="M4" s="1" t="s">
        <v>96</v>
      </c>
      <c r="N4" s="13">
        <v>44824</v>
      </c>
    </row>
    <row r="5" spans="1:14" ht="60" x14ac:dyDescent="0.2">
      <c r="A5" s="1" t="s">
        <v>32</v>
      </c>
      <c r="B5" s="1" t="s">
        <v>51</v>
      </c>
      <c r="C5" s="1" t="s">
        <v>68</v>
      </c>
      <c r="D5" s="2" t="s">
        <v>69</v>
      </c>
      <c r="F5" s="1" t="s">
        <v>71</v>
      </c>
      <c r="H5" s="1" t="s">
        <v>26</v>
      </c>
      <c r="I5" s="1" t="s">
        <v>72</v>
      </c>
      <c r="J5" s="1" t="s">
        <v>27</v>
      </c>
      <c r="K5" s="1" t="s">
        <v>98</v>
      </c>
      <c r="L5" s="13">
        <v>44824</v>
      </c>
      <c r="M5" s="1" t="s">
        <v>98</v>
      </c>
      <c r="N5" s="13">
        <v>44824</v>
      </c>
    </row>
    <row r="6" spans="1:14" ht="60" x14ac:dyDescent="0.2">
      <c r="A6" s="1" t="s">
        <v>33</v>
      </c>
      <c r="B6" s="1" t="s">
        <v>52</v>
      </c>
      <c r="C6" s="1" t="s">
        <v>68</v>
      </c>
      <c r="D6" s="2" t="s">
        <v>69</v>
      </c>
      <c r="E6" s="1" t="s">
        <v>70</v>
      </c>
      <c r="F6" s="1" t="s">
        <v>71</v>
      </c>
      <c r="H6" s="1" t="s">
        <v>23</v>
      </c>
      <c r="I6" s="1" t="s">
        <v>72</v>
      </c>
      <c r="J6" s="1" t="s">
        <v>28</v>
      </c>
      <c r="K6" s="1" t="s">
        <v>98</v>
      </c>
      <c r="L6" s="13">
        <v>44824</v>
      </c>
      <c r="M6" s="1" t="s">
        <v>98</v>
      </c>
      <c r="N6" s="13">
        <v>44824</v>
      </c>
    </row>
    <row r="7" spans="1:14" ht="60" x14ac:dyDescent="0.2">
      <c r="A7" s="1" t="s">
        <v>34</v>
      </c>
      <c r="B7" s="1" t="s">
        <v>53</v>
      </c>
      <c r="C7" s="1" t="s">
        <v>68</v>
      </c>
      <c r="D7" s="2" t="s">
        <v>69</v>
      </c>
      <c r="F7" s="1" t="s">
        <v>71</v>
      </c>
      <c r="H7" s="1" t="s">
        <v>24</v>
      </c>
      <c r="I7" s="1" t="s">
        <v>72</v>
      </c>
      <c r="J7" s="1" t="s">
        <v>29</v>
      </c>
      <c r="K7" s="1" t="s">
        <v>99</v>
      </c>
      <c r="L7" s="13">
        <v>44824</v>
      </c>
      <c r="M7" s="1" t="s">
        <v>99</v>
      </c>
      <c r="N7" s="13">
        <v>44824</v>
      </c>
    </row>
    <row r="8" spans="1:14" ht="60" x14ac:dyDescent="0.2">
      <c r="A8" s="1" t="s">
        <v>35</v>
      </c>
      <c r="B8" s="1" t="s">
        <v>54</v>
      </c>
      <c r="C8" s="1" t="s">
        <v>68</v>
      </c>
      <c r="D8" s="2" t="s">
        <v>69</v>
      </c>
      <c r="F8" s="1" t="s">
        <v>71</v>
      </c>
      <c r="H8" s="1" t="s">
        <v>25</v>
      </c>
      <c r="I8" s="1" t="s">
        <v>72</v>
      </c>
      <c r="J8" s="1" t="s">
        <v>27</v>
      </c>
      <c r="K8" s="1" t="s">
        <v>96</v>
      </c>
      <c r="L8" s="13">
        <v>44824</v>
      </c>
      <c r="M8" s="1" t="s">
        <v>96</v>
      </c>
      <c r="N8" s="13">
        <v>44824</v>
      </c>
    </row>
    <row r="9" spans="1:14" ht="60" x14ac:dyDescent="0.2">
      <c r="A9" s="1" t="s">
        <v>36</v>
      </c>
      <c r="B9" s="1" t="s">
        <v>55</v>
      </c>
      <c r="C9" s="1" t="s">
        <v>68</v>
      </c>
      <c r="D9" s="2" t="s">
        <v>69</v>
      </c>
      <c r="E9" s="1" t="s">
        <v>70</v>
      </c>
      <c r="F9" s="1" t="s">
        <v>71</v>
      </c>
      <c r="H9" s="1" t="s">
        <v>26</v>
      </c>
      <c r="I9" s="1" t="s">
        <v>72</v>
      </c>
      <c r="J9" s="1" t="s">
        <v>28</v>
      </c>
      <c r="K9" s="1" t="s">
        <v>96</v>
      </c>
      <c r="L9" s="13">
        <v>44824</v>
      </c>
      <c r="M9" s="1" t="s">
        <v>96</v>
      </c>
      <c r="N9" s="13">
        <v>44824</v>
      </c>
    </row>
    <row r="10" spans="1:14" ht="60" x14ac:dyDescent="0.2">
      <c r="A10" s="1" t="s">
        <v>37</v>
      </c>
      <c r="B10" s="1" t="s">
        <v>56</v>
      </c>
      <c r="C10" s="1" t="s">
        <v>68</v>
      </c>
      <c r="D10" s="2" t="s">
        <v>69</v>
      </c>
      <c r="F10" s="1" t="s">
        <v>71</v>
      </c>
      <c r="H10" s="1" t="s">
        <v>23</v>
      </c>
      <c r="I10" s="1" t="s">
        <v>72</v>
      </c>
      <c r="J10" s="1" t="s">
        <v>29</v>
      </c>
      <c r="K10" s="1" t="s">
        <v>96</v>
      </c>
      <c r="L10" s="13">
        <v>44824</v>
      </c>
      <c r="M10" s="1" t="s">
        <v>96</v>
      </c>
      <c r="N10" s="13">
        <v>44824</v>
      </c>
    </row>
    <row r="11" spans="1:14" ht="60" x14ac:dyDescent="0.2">
      <c r="A11" s="1" t="s">
        <v>38</v>
      </c>
      <c r="B11" s="1" t="s">
        <v>57</v>
      </c>
      <c r="C11" s="1" t="s">
        <v>68</v>
      </c>
      <c r="D11" s="2" t="s">
        <v>69</v>
      </c>
      <c r="E11" s="1" t="s">
        <v>70</v>
      </c>
      <c r="F11" s="1" t="s">
        <v>71</v>
      </c>
      <c r="H11" s="1" t="s">
        <v>24</v>
      </c>
      <c r="I11" s="1" t="s">
        <v>72</v>
      </c>
      <c r="J11" s="1" t="s">
        <v>27</v>
      </c>
      <c r="K11" s="1" t="s">
        <v>98</v>
      </c>
      <c r="L11" s="13">
        <v>44824</v>
      </c>
      <c r="M11" s="1" t="s">
        <v>98</v>
      </c>
      <c r="N11" s="13">
        <v>44824</v>
      </c>
    </row>
    <row r="12" spans="1:14" ht="60" x14ac:dyDescent="0.2">
      <c r="A12" s="1" t="s">
        <v>39</v>
      </c>
      <c r="B12" s="1" t="s">
        <v>58</v>
      </c>
      <c r="C12" s="1" t="s">
        <v>68</v>
      </c>
      <c r="D12" s="2" t="s">
        <v>69</v>
      </c>
      <c r="F12" s="1" t="s">
        <v>71</v>
      </c>
      <c r="H12" s="1" t="s">
        <v>25</v>
      </c>
      <c r="I12" s="1" t="s">
        <v>72</v>
      </c>
      <c r="J12" s="1" t="s">
        <v>29</v>
      </c>
      <c r="K12" s="1" t="s">
        <v>98</v>
      </c>
      <c r="L12" s="13">
        <v>44824</v>
      </c>
      <c r="M12" s="1" t="s">
        <v>98</v>
      </c>
      <c r="N12" s="13">
        <v>44824</v>
      </c>
    </row>
    <row r="13" spans="1:14" ht="60" x14ac:dyDescent="0.2">
      <c r="A13" s="1" t="s">
        <v>40</v>
      </c>
      <c r="B13" s="1" t="s">
        <v>59</v>
      </c>
      <c r="C13" s="1" t="s">
        <v>68</v>
      </c>
      <c r="D13" s="2" t="s">
        <v>69</v>
      </c>
      <c r="F13" s="1" t="s">
        <v>71</v>
      </c>
      <c r="H13" s="1" t="s">
        <v>26</v>
      </c>
      <c r="I13" s="1" t="s">
        <v>72</v>
      </c>
      <c r="J13" s="1" t="s">
        <v>29</v>
      </c>
      <c r="K13" s="1" t="s">
        <v>99</v>
      </c>
      <c r="L13" s="13">
        <v>44824</v>
      </c>
      <c r="M13" s="1" t="s">
        <v>99</v>
      </c>
      <c r="N13" s="13">
        <v>44824</v>
      </c>
    </row>
    <row r="14" spans="1:14" ht="60" x14ac:dyDescent="0.2">
      <c r="A14" s="1" t="s">
        <v>41</v>
      </c>
      <c r="B14" s="1" t="s">
        <v>60</v>
      </c>
      <c r="C14" s="1" t="s">
        <v>68</v>
      </c>
      <c r="D14" s="2" t="s">
        <v>69</v>
      </c>
      <c r="F14" s="1" t="s">
        <v>71</v>
      </c>
      <c r="H14" s="1" t="s">
        <v>23</v>
      </c>
      <c r="I14" s="1" t="s">
        <v>72</v>
      </c>
      <c r="J14" s="1" t="s">
        <v>29</v>
      </c>
      <c r="K14" s="1" t="s">
        <v>96</v>
      </c>
      <c r="L14" s="13">
        <v>44824</v>
      </c>
      <c r="M14" s="1" t="s">
        <v>96</v>
      </c>
      <c r="N14" s="13">
        <v>44824</v>
      </c>
    </row>
    <row r="15" spans="1:14" ht="60" x14ac:dyDescent="0.2">
      <c r="A15" s="1" t="s">
        <v>42</v>
      </c>
      <c r="B15" s="1" t="s">
        <v>61</v>
      </c>
      <c r="C15" s="1" t="s">
        <v>68</v>
      </c>
      <c r="D15" s="2" t="s">
        <v>69</v>
      </c>
      <c r="E15" s="1" t="s">
        <v>70</v>
      </c>
      <c r="F15" s="1" t="s">
        <v>71</v>
      </c>
      <c r="H15" s="1" t="s">
        <v>24</v>
      </c>
      <c r="I15" s="1" t="s">
        <v>72</v>
      </c>
      <c r="J15" s="1" t="s">
        <v>29</v>
      </c>
      <c r="K15" s="1" t="s">
        <v>96</v>
      </c>
      <c r="L15" s="13">
        <v>44824</v>
      </c>
      <c r="M15" s="1" t="s">
        <v>96</v>
      </c>
      <c r="N15" s="13">
        <v>44824</v>
      </c>
    </row>
    <row r="16" spans="1:14" ht="60" x14ac:dyDescent="0.2">
      <c r="A16" s="1" t="s">
        <v>43</v>
      </c>
      <c r="B16" s="1" t="s">
        <v>62</v>
      </c>
      <c r="C16" s="1" t="s">
        <v>68</v>
      </c>
      <c r="D16" s="2" t="s">
        <v>69</v>
      </c>
      <c r="F16" s="1" t="s">
        <v>71</v>
      </c>
      <c r="H16" s="1" t="s">
        <v>25</v>
      </c>
      <c r="I16" s="1" t="s">
        <v>72</v>
      </c>
      <c r="J16" s="1" t="s">
        <v>29</v>
      </c>
      <c r="K16" s="1" t="s">
        <v>96</v>
      </c>
      <c r="L16" s="13">
        <v>44824</v>
      </c>
      <c r="M16" s="1" t="s">
        <v>96</v>
      </c>
      <c r="N16" s="13">
        <v>44824</v>
      </c>
    </row>
    <row r="17" spans="1:14" ht="60" x14ac:dyDescent="0.2">
      <c r="A17" s="1" t="s">
        <v>44</v>
      </c>
      <c r="B17" s="1" t="s">
        <v>63</v>
      </c>
      <c r="C17" s="1" t="s">
        <v>68</v>
      </c>
      <c r="D17" s="2" t="s">
        <v>69</v>
      </c>
      <c r="F17" s="1" t="s">
        <v>71</v>
      </c>
      <c r="H17" s="1" t="s">
        <v>26</v>
      </c>
      <c r="I17" s="1" t="s">
        <v>72</v>
      </c>
      <c r="J17" s="1" t="s">
        <v>29</v>
      </c>
      <c r="K17" s="1" t="s">
        <v>98</v>
      </c>
      <c r="L17" s="13">
        <v>44824</v>
      </c>
      <c r="M17" s="1" t="s">
        <v>98</v>
      </c>
      <c r="N17" s="13">
        <v>44824</v>
      </c>
    </row>
    <row r="18" spans="1:14" ht="60" x14ac:dyDescent="0.2">
      <c r="A18" s="1" t="s">
        <v>45</v>
      </c>
      <c r="B18" s="1" t="s">
        <v>64</v>
      </c>
      <c r="C18" s="1" t="s">
        <v>68</v>
      </c>
      <c r="D18" s="2" t="s">
        <v>69</v>
      </c>
      <c r="F18" s="1" t="s">
        <v>71</v>
      </c>
      <c r="H18" s="1" t="s">
        <v>23</v>
      </c>
      <c r="I18" s="1" t="s">
        <v>72</v>
      </c>
      <c r="J18" s="1" t="s">
        <v>29</v>
      </c>
      <c r="K18" s="1" t="s">
        <v>98</v>
      </c>
      <c r="L18" s="13">
        <v>44824</v>
      </c>
      <c r="M18" s="1" t="s">
        <v>98</v>
      </c>
      <c r="N18" s="13">
        <v>44824</v>
      </c>
    </row>
    <row r="19" spans="1:14" ht="60" x14ac:dyDescent="0.2">
      <c r="A19" s="1" t="s">
        <v>46</v>
      </c>
      <c r="B19" s="1" t="s">
        <v>65</v>
      </c>
      <c r="C19" s="1" t="s">
        <v>68</v>
      </c>
      <c r="D19" s="2" t="s">
        <v>69</v>
      </c>
      <c r="F19" s="1" t="s">
        <v>71</v>
      </c>
      <c r="H19" s="1" t="s">
        <v>24</v>
      </c>
      <c r="I19" s="1" t="s">
        <v>72</v>
      </c>
      <c r="J19" s="1" t="s">
        <v>29</v>
      </c>
      <c r="K19" s="1" t="s">
        <v>99</v>
      </c>
      <c r="L19" s="13">
        <v>44824</v>
      </c>
      <c r="M19" s="1" t="s">
        <v>99</v>
      </c>
      <c r="N19" s="13">
        <v>44824</v>
      </c>
    </row>
    <row r="20" spans="1:14" ht="60" x14ac:dyDescent="0.2">
      <c r="A20" s="1" t="s">
        <v>47</v>
      </c>
      <c r="B20" s="1" t="s">
        <v>66</v>
      </c>
      <c r="C20" s="1" t="s">
        <v>68</v>
      </c>
      <c r="D20" s="2" t="s">
        <v>69</v>
      </c>
      <c r="F20" s="1" t="s">
        <v>71</v>
      </c>
      <c r="H20" s="1" t="s">
        <v>25</v>
      </c>
      <c r="I20" s="1" t="s">
        <v>72</v>
      </c>
      <c r="J20" s="1" t="s">
        <v>29</v>
      </c>
      <c r="K20" s="1" t="s">
        <v>96</v>
      </c>
      <c r="L20" s="13">
        <v>44824</v>
      </c>
      <c r="M20" s="1" t="s">
        <v>96</v>
      </c>
      <c r="N20" s="13">
        <v>44824</v>
      </c>
    </row>
    <row r="21" spans="1:14" ht="60" x14ac:dyDescent="0.2">
      <c r="A21" s="1" t="s">
        <v>48</v>
      </c>
      <c r="B21" s="1" t="s">
        <v>67</v>
      </c>
      <c r="C21" s="1" t="s">
        <v>68</v>
      </c>
      <c r="D21" s="2" t="s">
        <v>69</v>
      </c>
      <c r="F21" s="1" t="s">
        <v>71</v>
      </c>
      <c r="H21" s="1" t="s">
        <v>26</v>
      </c>
      <c r="I21" s="1" t="s">
        <v>72</v>
      </c>
      <c r="J21" s="1" t="s">
        <v>29</v>
      </c>
      <c r="K21" s="1" t="s">
        <v>96</v>
      </c>
      <c r="L21" s="13">
        <v>44824</v>
      </c>
      <c r="M21" s="1" t="s">
        <v>96</v>
      </c>
      <c r="N21" s="13">
        <v>44824</v>
      </c>
    </row>
  </sheetData>
  <phoneticPr fontId="3" type="noConversion"/>
  <conditionalFormatting sqref="H2:H21">
    <cfRule type="cellIs" dxfId="14" priority="4" operator="equal">
      <formula>"LOW"</formula>
    </cfRule>
    <cfRule type="cellIs" dxfId="13" priority="5" operator="equal">
      <formula>"NORMAL"</formula>
    </cfRule>
    <cfRule type="cellIs" dxfId="12" priority="6" operator="equal">
      <formula>"HIGH"</formula>
    </cfRule>
    <cfRule type="cellIs" dxfId="11" priority="7" operator="equal">
      <formula>"CRITICAL"</formula>
    </cfRule>
  </conditionalFormatting>
  <conditionalFormatting sqref="J2:J21">
    <cfRule type="cellIs" dxfId="10" priority="1" operator="equal">
      <formula>"UNEXECUTED"</formula>
    </cfRule>
    <cfRule type="cellIs" dxfId="9" priority="2" operator="equal">
      <formula>"PASSED"</formula>
    </cfRule>
    <cfRule type="cellIs" dxfId="8" priority="3" operator="equal">
      <formula>"FAILED"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BA4F1EE-CCB3-AB43-B728-CCCB6B1E2AA3}">
          <x14:formula1>
            <xm:f>Overall!$B$24:$B$26</xm:f>
          </x14:formula1>
          <xm:sqref>K2:K21 M2:M21</xm:sqref>
        </x14:dataValidation>
        <x14:dataValidation type="list" allowBlank="1" showInputMessage="1" showErrorMessage="1" xr:uid="{95DF6216-61E4-8948-9B66-4480013EFCD2}">
          <x14:formula1>
            <xm:f>Overall!$D$3:$D$6</xm:f>
          </x14:formula1>
          <xm:sqref>H2:H47</xm:sqref>
        </x14:dataValidation>
        <x14:dataValidation type="list" allowBlank="1" showInputMessage="1" showErrorMessage="1" xr:uid="{45904393-EB8B-0D46-9C15-A83686716BA1}">
          <x14:formula1>
            <xm:f>Overall!$E$3:$E$5</xm:f>
          </x14:formula1>
          <xm:sqref>J2:J22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53F21-599B-FF48-97D6-4D30183711ED}">
  <dimension ref="A1:N21"/>
  <sheetViews>
    <sheetView topLeftCell="A4" workbookViewId="0">
      <selection activeCell="D15" sqref="D15"/>
    </sheetView>
  </sheetViews>
  <sheetFormatPr baseColWidth="10" defaultRowHeight="19" x14ac:dyDescent="0.2"/>
  <cols>
    <col min="1" max="1" width="6.6640625" style="1" bestFit="1" customWidth="1"/>
    <col min="2" max="2" width="62.5" style="1" bestFit="1" customWidth="1"/>
    <col min="3" max="3" width="29.33203125" style="1" bestFit="1" customWidth="1"/>
    <col min="4" max="4" width="19" style="1" bestFit="1" customWidth="1"/>
    <col min="5" max="5" width="23.33203125" style="1" bestFit="1" customWidth="1"/>
    <col min="6" max="6" width="22.1640625" style="1" bestFit="1" customWidth="1"/>
    <col min="7" max="7" width="23.6640625" style="1" bestFit="1" customWidth="1"/>
    <col min="8" max="8" width="12.6640625" style="1" bestFit="1" customWidth="1"/>
    <col min="9" max="9" width="19.83203125" style="1" bestFit="1" customWidth="1"/>
    <col min="10" max="10" width="14.1640625" style="1" bestFit="1" customWidth="1"/>
    <col min="11" max="11" width="14.83203125" style="1" bestFit="1" customWidth="1"/>
    <col min="12" max="12" width="17.5" style="1" bestFit="1" customWidth="1"/>
    <col min="13" max="13" width="16" style="1" bestFit="1" customWidth="1"/>
    <col min="14" max="14" width="18.83203125" style="1" bestFit="1" customWidth="1"/>
    <col min="15" max="16384" width="10.83203125" style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6</v>
      </c>
      <c r="G1" s="1" t="s">
        <v>4</v>
      </c>
      <c r="H1" s="1" t="s">
        <v>8</v>
      </c>
      <c r="I1" s="1" t="s">
        <v>7</v>
      </c>
      <c r="J1" s="1" t="s">
        <v>10</v>
      </c>
      <c r="K1" s="1" t="s">
        <v>9</v>
      </c>
      <c r="L1" s="1" t="s">
        <v>11</v>
      </c>
      <c r="M1" s="1" t="s">
        <v>12</v>
      </c>
      <c r="N1" s="1" t="s">
        <v>13</v>
      </c>
    </row>
    <row r="2" spans="1:14" ht="60" x14ac:dyDescent="0.2">
      <c r="A2" s="1" t="s">
        <v>111</v>
      </c>
      <c r="B2" s="1" t="s">
        <v>110</v>
      </c>
      <c r="C2" s="1" t="s">
        <v>68</v>
      </c>
      <c r="D2" s="2" t="s">
        <v>69</v>
      </c>
      <c r="E2" s="1" t="s">
        <v>70</v>
      </c>
      <c r="F2" s="1" t="s">
        <v>71</v>
      </c>
      <c r="H2" s="1" t="s">
        <v>23</v>
      </c>
      <c r="I2" s="1" t="s">
        <v>72</v>
      </c>
      <c r="J2" s="1" t="s">
        <v>27</v>
      </c>
      <c r="K2" s="1" t="s">
        <v>96</v>
      </c>
      <c r="L2" s="13">
        <v>44824</v>
      </c>
      <c r="M2" s="1" t="s">
        <v>96</v>
      </c>
      <c r="N2" s="13">
        <v>44824</v>
      </c>
    </row>
    <row r="3" spans="1:14" ht="60" x14ac:dyDescent="0.2">
      <c r="A3" s="1" t="s">
        <v>112</v>
      </c>
      <c r="B3" s="1" t="s">
        <v>49</v>
      </c>
      <c r="C3" s="1" t="s">
        <v>68</v>
      </c>
      <c r="D3" s="2" t="s">
        <v>69</v>
      </c>
      <c r="E3" s="1" t="s">
        <v>70</v>
      </c>
      <c r="F3" s="1" t="s">
        <v>71</v>
      </c>
      <c r="H3" s="1" t="s">
        <v>24</v>
      </c>
      <c r="I3" s="1" t="s">
        <v>72</v>
      </c>
      <c r="J3" s="1" t="s">
        <v>28</v>
      </c>
      <c r="K3" s="1" t="s">
        <v>98</v>
      </c>
      <c r="L3" s="13">
        <v>44824</v>
      </c>
      <c r="M3" s="1" t="s">
        <v>96</v>
      </c>
      <c r="N3" s="13">
        <v>44824</v>
      </c>
    </row>
    <row r="4" spans="1:14" ht="60" x14ac:dyDescent="0.2">
      <c r="A4" s="1" t="s">
        <v>113</v>
      </c>
      <c r="B4" s="1" t="s">
        <v>50</v>
      </c>
      <c r="C4" s="1" t="s">
        <v>68</v>
      </c>
      <c r="D4" s="2" t="s">
        <v>69</v>
      </c>
      <c r="F4" s="1" t="s">
        <v>71</v>
      </c>
      <c r="H4" s="1" t="s">
        <v>25</v>
      </c>
      <c r="I4" s="1" t="s">
        <v>72</v>
      </c>
      <c r="J4" s="1" t="s">
        <v>29</v>
      </c>
      <c r="K4" s="1" t="s">
        <v>96</v>
      </c>
      <c r="L4" s="13">
        <v>44824</v>
      </c>
      <c r="M4" s="1" t="s">
        <v>96</v>
      </c>
      <c r="N4" s="13">
        <v>44824</v>
      </c>
    </row>
    <row r="5" spans="1:14" ht="60" x14ac:dyDescent="0.2">
      <c r="A5" s="1" t="s">
        <v>114</v>
      </c>
      <c r="B5" s="1" t="s">
        <v>51</v>
      </c>
      <c r="C5" s="1" t="s">
        <v>68</v>
      </c>
      <c r="D5" s="2" t="s">
        <v>69</v>
      </c>
      <c r="F5" s="1" t="s">
        <v>71</v>
      </c>
      <c r="H5" s="1" t="s">
        <v>26</v>
      </c>
      <c r="I5" s="1" t="s">
        <v>72</v>
      </c>
      <c r="J5" s="1" t="s">
        <v>27</v>
      </c>
      <c r="K5" s="1" t="s">
        <v>98</v>
      </c>
      <c r="L5" s="13">
        <v>44824</v>
      </c>
      <c r="M5" s="1" t="s">
        <v>98</v>
      </c>
      <c r="N5" s="13">
        <v>44824</v>
      </c>
    </row>
    <row r="6" spans="1:14" ht="60" x14ac:dyDescent="0.2">
      <c r="A6" s="1" t="s">
        <v>115</v>
      </c>
      <c r="B6" s="1" t="s">
        <v>52</v>
      </c>
      <c r="C6" s="1" t="s">
        <v>68</v>
      </c>
      <c r="D6" s="2" t="s">
        <v>69</v>
      </c>
      <c r="E6" s="1" t="s">
        <v>70</v>
      </c>
      <c r="F6" s="1" t="s">
        <v>71</v>
      </c>
      <c r="H6" s="1" t="s">
        <v>23</v>
      </c>
      <c r="I6" s="1" t="s">
        <v>72</v>
      </c>
      <c r="J6" s="1" t="s">
        <v>28</v>
      </c>
      <c r="K6" s="1" t="s">
        <v>98</v>
      </c>
      <c r="L6" s="13">
        <v>44824</v>
      </c>
      <c r="M6" s="1" t="s">
        <v>98</v>
      </c>
      <c r="N6" s="13">
        <v>44824</v>
      </c>
    </row>
    <row r="7" spans="1:14" ht="60" x14ac:dyDescent="0.2">
      <c r="A7" s="1" t="s">
        <v>116</v>
      </c>
      <c r="B7" s="1" t="s">
        <v>53</v>
      </c>
      <c r="C7" s="1" t="s">
        <v>68</v>
      </c>
      <c r="D7" s="2" t="s">
        <v>69</v>
      </c>
      <c r="F7" s="1" t="s">
        <v>71</v>
      </c>
      <c r="H7" s="1" t="s">
        <v>24</v>
      </c>
      <c r="I7" s="1" t="s">
        <v>72</v>
      </c>
      <c r="J7" s="1" t="s">
        <v>29</v>
      </c>
      <c r="K7" s="1" t="s">
        <v>99</v>
      </c>
      <c r="L7" s="13">
        <v>44824</v>
      </c>
      <c r="M7" s="1" t="s">
        <v>99</v>
      </c>
      <c r="N7" s="13">
        <v>44824</v>
      </c>
    </row>
    <row r="8" spans="1:14" ht="60" x14ac:dyDescent="0.2">
      <c r="A8" s="1" t="s">
        <v>117</v>
      </c>
      <c r="B8" s="1" t="s">
        <v>54</v>
      </c>
      <c r="C8" s="1" t="s">
        <v>68</v>
      </c>
      <c r="D8" s="2" t="s">
        <v>69</v>
      </c>
      <c r="F8" s="1" t="s">
        <v>71</v>
      </c>
      <c r="H8" s="1" t="s">
        <v>25</v>
      </c>
      <c r="I8" s="1" t="s">
        <v>72</v>
      </c>
      <c r="J8" s="1" t="s">
        <v>27</v>
      </c>
      <c r="K8" s="1" t="s">
        <v>96</v>
      </c>
      <c r="L8" s="13">
        <v>44824</v>
      </c>
      <c r="M8" s="1" t="s">
        <v>99</v>
      </c>
      <c r="N8" s="13">
        <v>44824</v>
      </c>
    </row>
    <row r="9" spans="1:14" ht="60" x14ac:dyDescent="0.2">
      <c r="A9" s="1" t="s">
        <v>118</v>
      </c>
      <c r="B9" s="1" t="s">
        <v>55</v>
      </c>
      <c r="C9" s="1" t="s">
        <v>68</v>
      </c>
      <c r="D9" s="2" t="s">
        <v>69</v>
      </c>
      <c r="E9" s="1" t="s">
        <v>70</v>
      </c>
      <c r="F9" s="1" t="s">
        <v>71</v>
      </c>
      <c r="H9" s="1" t="s">
        <v>26</v>
      </c>
      <c r="I9" s="1" t="s">
        <v>72</v>
      </c>
      <c r="J9" s="1" t="s">
        <v>28</v>
      </c>
      <c r="K9" s="1" t="s">
        <v>96</v>
      </c>
      <c r="L9" s="13">
        <v>44824</v>
      </c>
      <c r="M9" s="1" t="s">
        <v>96</v>
      </c>
      <c r="N9" s="13">
        <v>44824</v>
      </c>
    </row>
    <row r="10" spans="1:14" ht="60" x14ac:dyDescent="0.2">
      <c r="A10" s="1" t="s">
        <v>119</v>
      </c>
      <c r="B10" s="1" t="s">
        <v>56</v>
      </c>
      <c r="C10" s="1" t="s">
        <v>68</v>
      </c>
      <c r="D10" s="2" t="s">
        <v>69</v>
      </c>
      <c r="F10" s="1" t="s">
        <v>71</v>
      </c>
      <c r="H10" s="1" t="s">
        <v>23</v>
      </c>
      <c r="I10" s="1" t="s">
        <v>72</v>
      </c>
      <c r="J10" s="1" t="s">
        <v>29</v>
      </c>
      <c r="K10" s="1" t="s">
        <v>96</v>
      </c>
      <c r="L10" s="13">
        <v>44824</v>
      </c>
      <c r="M10" s="1" t="s">
        <v>96</v>
      </c>
      <c r="N10" s="13">
        <v>44824</v>
      </c>
    </row>
    <row r="11" spans="1:14" ht="60" x14ac:dyDescent="0.2">
      <c r="A11" s="1" t="s">
        <v>120</v>
      </c>
      <c r="B11" s="1" t="s">
        <v>57</v>
      </c>
      <c r="C11" s="1" t="s">
        <v>68</v>
      </c>
      <c r="D11" s="2" t="s">
        <v>69</v>
      </c>
      <c r="E11" s="1" t="s">
        <v>70</v>
      </c>
      <c r="F11" s="1" t="s">
        <v>71</v>
      </c>
      <c r="H11" s="1" t="s">
        <v>24</v>
      </c>
      <c r="I11" s="1" t="s">
        <v>72</v>
      </c>
      <c r="J11" s="1" t="s">
        <v>27</v>
      </c>
      <c r="K11" s="1" t="s">
        <v>99</v>
      </c>
      <c r="L11" s="13">
        <v>44824</v>
      </c>
      <c r="M11" s="1" t="s">
        <v>98</v>
      </c>
      <c r="N11" s="13">
        <v>44824</v>
      </c>
    </row>
    <row r="12" spans="1:14" ht="60" x14ac:dyDescent="0.2">
      <c r="A12" s="1" t="s">
        <v>121</v>
      </c>
      <c r="B12" s="1" t="s">
        <v>58</v>
      </c>
      <c r="C12" s="1" t="s">
        <v>68</v>
      </c>
      <c r="D12" s="2" t="s">
        <v>69</v>
      </c>
      <c r="F12" s="1" t="s">
        <v>71</v>
      </c>
      <c r="H12" s="1" t="s">
        <v>25</v>
      </c>
      <c r="I12" s="1" t="s">
        <v>72</v>
      </c>
      <c r="J12" s="1" t="s">
        <v>29</v>
      </c>
      <c r="K12" s="1" t="s">
        <v>98</v>
      </c>
      <c r="L12" s="13">
        <v>44824</v>
      </c>
      <c r="M12" s="1" t="s">
        <v>99</v>
      </c>
      <c r="N12" s="13">
        <v>44824</v>
      </c>
    </row>
    <row r="13" spans="1:14" ht="60" x14ac:dyDescent="0.2">
      <c r="A13" s="1" t="s">
        <v>122</v>
      </c>
      <c r="B13" s="1" t="s">
        <v>59</v>
      </c>
      <c r="C13" s="1" t="s">
        <v>68</v>
      </c>
      <c r="D13" s="2" t="s">
        <v>69</v>
      </c>
      <c r="F13" s="1" t="s">
        <v>71</v>
      </c>
      <c r="H13" s="1" t="s">
        <v>26</v>
      </c>
      <c r="I13" s="1" t="s">
        <v>72</v>
      </c>
      <c r="J13" s="1" t="s">
        <v>29</v>
      </c>
      <c r="K13" s="1" t="s">
        <v>99</v>
      </c>
      <c r="L13" s="13">
        <v>44824</v>
      </c>
      <c r="M13" s="1" t="s">
        <v>99</v>
      </c>
      <c r="N13" s="13">
        <v>44824</v>
      </c>
    </row>
    <row r="14" spans="1:14" ht="60" x14ac:dyDescent="0.2">
      <c r="A14" s="1" t="s">
        <v>123</v>
      </c>
      <c r="B14" s="1" t="s">
        <v>60</v>
      </c>
      <c r="C14" s="1" t="s">
        <v>68</v>
      </c>
      <c r="D14" s="2" t="s">
        <v>69</v>
      </c>
      <c r="F14" s="1" t="s">
        <v>71</v>
      </c>
      <c r="H14" s="1" t="s">
        <v>23</v>
      </c>
      <c r="I14" s="1" t="s">
        <v>72</v>
      </c>
      <c r="J14" s="1" t="s">
        <v>29</v>
      </c>
      <c r="K14" s="1" t="s">
        <v>96</v>
      </c>
      <c r="L14" s="13">
        <v>44824</v>
      </c>
      <c r="M14" s="1" t="s">
        <v>96</v>
      </c>
      <c r="N14" s="13">
        <v>44824</v>
      </c>
    </row>
    <row r="15" spans="1:14" ht="60" x14ac:dyDescent="0.2">
      <c r="A15" s="1" t="s">
        <v>124</v>
      </c>
      <c r="B15" s="1" t="s">
        <v>61</v>
      </c>
      <c r="C15" s="1" t="s">
        <v>68</v>
      </c>
      <c r="D15" s="2" t="s">
        <v>69</v>
      </c>
      <c r="E15" s="1" t="s">
        <v>70</v>
      </c>
      <c r="F15" s="1" t="s">
        <v>71</v>
      </c>
      <c r="H15" s="1" t="s">
        <v>24</v>
      </c>
      <c r="I15" s="1" t="s">
        <v>72</v>
      </c>
      <c r="J15" s="1" t="s">
        <v>29</v>
      </c>
      <c r="K15" s="1" t="s">
        <v>98</v>
      </c>
      <c r="L15" s="13">
        <v>44824</v>
      </c>
      <c r="M15" s="1" t="s">
        <v>96</v>
      </c>
      <c r="N15" s="13">
        <v>44824</v>
      </c>
    </row>
    <row r="16" spans="1:14" ht="60" x14ac:dyDescent="0.2">
      <c r="A16" s="1" t="s">
        <v>125</v>
      </c>
      <c r="B16" s="1" t="s">
        <v>62</v>
      </c>
      <c r="C16" s="1" t="s">
        <v>68</v>
      </c>
      <c r="D16" s="2" t="s">
        <v>69</v>
      </c>
      <c r="F16" s="1" t="s">
        <v>71</v>
      </c>
      <c r="H16" s="1" t="s">
        <v>25</v>
      </c>
      <c r="I16" s="1" t="s">
        <v>72</v>
      </c>
      <c r="J16" s="1" t="s">
        <v>29</v>
      </c>
      <c r="K16" s="1" t="s">
        <v>96</v>
      </c>
      <c r="L16" s="13">
        <v>44824</v>
      </c>
      <c r="M16" s="1" t="s">
        <v>96</v>
      </c>
      <c r="N16" s="13">
        <v>44824</v>
      </c>
    </row>
    <row r="17" spans="4:14" x14ac:dyDescent="0.2">
      <c r="D17" s="2"/>
      <c r="L17" s="13"/>
      <c r="N17" s="13"/>
    </row>
    <row r="18" spans="4:14" x14ac:dyDescent="0.2">
      <c r="D18" s="2"/>
      <c r="L18" s="13"/>
      <c r="N18" s="13"/>
    </row>
    <row r="19" spans="4:14" x14ac:dyDescent="0.2">
      <c r="D19" s="2"/>
      <c r="L19" s="13"/>
      <c r="N19" s="13"/>
    </row>
    <row r="20" spans="4:14" x14ac:dyDescent="0.2">
      <c r="D20" s="2"/>
      <c r="L20" s="13"/>
      <c r="N20" s="13"/>
    </row>
    <row r="21" spans="4:14" x14ac:dyDescent="0.2">
      <c r="D21" s="2"/>
      <c r="L21" s="13"/>
      <c r="N21" s="13"/>
    </row>
  </sheetData>
  <phoneticPr fontId="3" type="noConversion"/>
  <conditionalFormatting sqref="H2:H16">
    <cfRule type="cellIs" dxfId="7" priority="4" operator="equal">
      <formula>"LOW"</formula>
    </cfRule>
    <cfRule type="cellIs" dxfId="6" priority="5" operator="equal">
      <formula>"NORMAL"</formula>
    </cfRule>
    <cfRule type="cellIs" dxfId="5" priority="6" operator="equal">
      <formula>"HIGH"</formula>
    </cfRule>
    <cfRule type="cellIs" dxfId="4" priority="7" operator="equal">
      <formula>"CRITICAL"</formula>
    </cfRule>
  </conditionalFormatting>
  <conditionalFormatting sqref="J2:J16">
    <cfRule type="cellIs" dxfId="3" priority="1" operator="equal">
      <formula>"UNEXECUTED"</formula>
    </cfRule>
    <cfRule type="cellIs" dxfId="2" priority="2" operator="equal">
      <formula>"PASSED"</formula>
    </cfRule>
    <cfRule type="cellIs" dxfId="1" priority="3" operator="equal">
      <formula>"FAILED"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5C1A1E3-245D-E74D-952B-E1E9625676E5}">
          <x14:formula1>
            <xm:f>Overall!$B$24:$B$26</xm:f>
          </x14:formula1>
          <xm:sqref>K2:K16 M2:M16</xm:sqref>
        </x14:dataValidation>
        <x14:dataValidation type="list" allowBlank="1" showInputMessage="1" showErrorMessage="1" xr:uid="{500D59B5-A72D-2548-99F8-1E5DF8CDA99F}">
          <x14:formula1>
            <xm:f>Overall!$E$3:$E$5</xm:f>
          </x14:formula1>
          <xm:sqref>J2:J22</xm:sqref>
        </x14:dataValidation>
        <x14:dataValidation type="list" allowBlank="1" showInputMessage="1" showErrorMessage="1" xr:uid="{9FD3FC09-B4AA-E747-BDD4-B4F147C71AEE}">
          <x14:formula1>
            <xm:f>Overall!$D$3:$D$6</xm:f>
          </x14:formula1>
          <xm:sqref>H2:H47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Overall</vt:lpstr>
      <vt:lpstr>login_feature</vt:lpstr>
      <vt:lpstr>search_feature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Trinh</dc:creator>
  <cp:lastModifiedBy>Duong Trinh</cp:lastModifiedBy>
  <dcterms:created xsi:type="dcterms:W3CDTF">2023-10-27T14:35:22Z</dcterms:created>
  <dcterms:modified xsi:type="dcterms:W3CDTF">2023-10-30T16:17:30Z</dcterms:modified>
</cp:coreProperties>
</file>